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K:\DOTI_TI\SHARED\PROJECTS\1000455_Alameda Lane Reduction\100-PM\160-PCW\"/>
    </mc:Choice>
  </mc:AlternateContent>
  <xr:revisionPtr revIDLastSave="0" documentId="13_ncr:1_{B73D9508-9B9C-4A4E-A8D7-EE10DF819D27}" xr6:coauthVersionLast="47" xr6:coauthVersionMax="47" xr10:uidLastSave="{00000000-0000-0000-0000-000000000000}"/>
  <workbookProtection workbookAlgorithmName="SHA-512" workbookHashValue="mVbTcFCGwWiwyySXOJ/coKX43ARr/7Mxh7D3ITnblAjbJu6LNPznCyJwDhVYkunzAUSY8XHsxa/t2293KaIKjA==" workbookSaltValue="Fs7LRB5dePpaU+lEHfxQSQ==" workbookSpinCount="100000" lockStructure="1"/>
  <bookViews>
    <workbookView xWindow="-108" yWindow="-108" windowWidth="23256" windowHeight="13896" firstSheet="1" activeTab="1" xr2:uid="{00000000-000D-0000-FFFF-FFFF00000000}"/>
  </bookViews>
  <sheets>
    <sheet name="PCW-Example" sheetId="10" r:id="rId1"/>
    <sheet name="PCW-Template" sheetId="1" r:id="rId2"/>
    <sheet name="Cost Escalation" sheetId="2" state="hidden" r:id="rId3"/>
    <sheet name="Data Validation" sheetId="8" state="hidden" r:id="rId4"/>
    <sheet name="Case-Schiller" sheetId="3" state="hidden" r:id="rId5"/>
    <sheet name="PPI-Horizontal Design" sheetId="19" state="hidden" r:id="rId6"/>
    <sheet name="PPI-HiwaysandStreet(Horz Adj)" sheetId="13" state="hidden" r:id="rId7"/>
  </sheets>
  <externalReferences>
    <externalReference r:id="rId8"/>
    <externalReference r:id="rId9"/>
  </externalReferences>
  <definedNames>
    <definedName name="__FDS_HYPERLINK_TOGGLE_STATE__" hidden="1">"ON"</definedName>
    <definedName name="BLPH1" hidden="1">'[1]Mthly Data'!$A$3</definedName>
    <definedName name="BLPH2" localSheetId="0" hidden="1">'[2]Mthly Data'!#REF!</definedName>
    <definedName name="BLPH2" hidden="1">'[2]Mthly Data'!#REF!</definedName>
    <definedName name="BLPH3" localSheetId="0" hidden="1">'[2]Mthly Data'!#REF!</definedName>
    <definedName name="BLPH3" hidden="1">'[2]Mthly Data'!#REF!</definedName>
    <definedName name="blph4" localSheetId="0" hidden="1">'[2]Mthly Data'!#REF!</definedName>
    <definedName name="blph4" hidden="1">'[2]Mthly Data'!#REF!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MasterPlans" localSheetId="0">#REF!</definedName>
    <definedName name="MasterPlans">#REF!</definedName>
    <definedName name="_xlnm.Print_Area" localSheetId="0">'PCW-Example'!#REF!</definedName>
    <definedName name="_xlnm.Print_Area" localSheetId="1">'PCW-Template'!$A$1:$J$142</definedName>
    <definedName name="_xlnm.Print_Titles" localSheetId="0">'PCW-Example'!$5:$7</definedName>
    <definedName name="_xlnm.Print_Titles" localSheetId="1">'PCW-Template'!$5:$7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1" l="1"/>
  <c r="D140" i="1"/>
  <c r="N102" i="1"/>
  <c r="N82" i="1"/>
  <c r="M102" i="1"/>
  <c r="C131" i="13" l="1"/>
  <c r="D131" i="13"/>
  <c r="E131" i="13"/>
  <c r="C200" i="19"/>
  <c r="D200" i="19" s="1"/>
  <c r="E200" i="19"/>
  <c r="D14" i="2" l="1"/>
  <c r="C131" i="19"/>
  <c r="D131" i="19"/>
  <c r="E131" i="19"/>
  <c r="C132" i="19"/>
  <c r="D132" i="19" s="1"/>
  <c r="E132" i="19"/>
  <c r="C133" i="19"/>
  <c r="D133" i="19"/>
  <c r="E133" i="19"/>
  <c r="C134" i="19"/>
  <c r="D134" i="19" s="1"/>
  <c r="E134" i="19"/>
  <c r="C135" i="19"/>
  <c r="D135" i="19"/>
  <c r="E135" i="19"/>
  <c r="C136" i="19"/>
  <c r="D136" i="19" s="1"/>
  <c r="E136" i="19"/>
  <c r="C137" i="19"/>
  <c r="D137" i="19" s="1"/>
  <c r="E137" i="19"/>
  <c r="C138" i="19"/>
  <c r="D138" i="19"/>
  <c r="E138" i="19"/>
  <c r="L36" i="19" s="1"/>
  <c r="C139" i="19"/>
  <c r="D139" i="19"/>
  <c r="E139" i="19"/>
  <c r="C140" i="19"/>
  <c r="D140" i="19" s="1"/>
  <c r="E140" i="19"/>
  <c r="C141" i="19"/>
  <c r="D141" i="19"/>
  <c r="E141" i="19"/>
  <c r="C142" i="19"/>
  <c r="D142" i="19" s="1"/>
  <c r="E142" i="19"/>
  <c r="C143" i="19"/>
  <c r="D143" i="19"/>
  <c r="E143" i="19"/>
  <c r="C144" i="19"/>
  <c r="D144" i="19" s="1"/>
  <c r="E144" i="19"/>
  <c r="C145" i="19"/>
  <c r="D145" i="19" s="1"/>
  <c r="E145" i="19"/>
  <c r="C146" i="19"/>
  <c r="D146" i="19"/>
  <c r="E146" i="19"/>
  <c r="C147" i="19"/>
  <c r="D147" i="19"/>
  <c r="E147" i="19"/>
  <c r="C148" i="19"/>
  <c r="D148" i="19" s="1"/>
  <c r="E148" i="19"/>
  <c r="C149" i="19"/>
  <c r="D149" i="19"/>
  <c r="E149" i="19"/>
  <c r="C150" i="19"/>
  <c r="D150" i="19" s="1"/>
  <c r="E150" i="19"/>
  <c r="C151" i="19"/>
  <c r="D151" i="19"/>
  <c r="E151" i="19"/>
  <c r="C152" i="19"/>
  <c r="D152" i="19" s="1"/>
  <c r="E152" i="19"/>
  <c r="C153" i="19"/>
  <c r="D153" i="19" s="1"/>
  <c r="E153" i="19"/>
  <c r="C154" i="19"/>
  <c r="D154" i="19"/>
  <c r="E154" i="19"/>
  <c r="C155" i="19"/>
  <c r="D155" i="19"/>
  <c r="E155" i="19"/>
  <c r="C156" i="19"/>
  <c r="D156" i="19" s="1"/>
  <c r="E156" i="19"/>
  <c r="C157" i="19"/>
  <c r="D157" i="19"/>
  <c r="E157" i="19"/>
  <c r="C158" i="19"/>
  <c r="D158" i="19" s="1"/>
  <c r="E158" i="19"/>
  <c r="C159" i="19"/>
  <c r="D159" i="19"/>
  <c r="E159" i="19"/>
  <c r="C160" i="19"/>
  <c r="D160" i="19" s="1"/>
  <c r="E160" i="19"/>
  <c r="C161" i="19"/>
  <c r="D161" i="19" s="1"/>
  <c r="E161" i="19"/>
  <c r="C162" i="19"/>
  <c r="D162" i="19"/>
  <c r="E162" i="19"/>
  <c r="C163" i="19"/>
  <c r="D163" i="19"/>
  <c r="E163" i="19"/>
  <c r="C164" i="19"/>
  <c r="D164" i="19" s="1"/>
  <c r="E164" i="19"/>
  <c r="C165" i="19"/>
  <c r="D165" i="19"/>
  <c r="E165" i="19"/>
  <c r="C166" i="19"/>
  <c r="D166" i="19" s="1"/>
  <c r="E166" i="19"/>
  <c r="C167" i="19"/>
  <c r="D167" i="19"/>
  <c r="E167" i="19"/>
  <c r="C168" i="19"/>
  <c r="D168" i="19" s="1"/>
  <c r="E168" i="19"/>
  <c r="C169" i="19"/>
  <c r="D169" i="19"/>
  <c r="E169" i="19"/>
  <c r="C170" i="19"/>
  <c r="D170" i="19"/>
  <c r="E170" i="19"/>
  <c r="C171" i="19"/>
  <c r="D171" i="19"/>
  <c r="E171" i="19"/>
  <c r="C172" i="19"/>
  <c r="D172" i="19" s="1"/>
  <c r="E172" i="19"/>
  <c r="C173" i="19"/>
  <c r="D173" i="19"/>
  <c r="E173" i="19"/>
  <c r="C174" i="19"/>
  <c r="D174" i="19" s="1"/>
  <c r="E174" i="19"/>
  <c r="C175" i="19"/>
  <c r="D175" i="19"/>
  <c r="E175" i="19"/>
  <c r="C176" i="19"/>
  <c r="D176" i="19" s="1"/>
  <c r="E176" i="19"/>
  <c r="C177" i="19"/>
  <c r="D177" i="19"/>
  <c r="E177" i="19"/>
  <c r="C178" i="19"/>
  <c r="D178" i="19"/>
  <c r="E178" i="19"/>
  <c r="C179" i="19"/>
  <c r="D179" i="19"/>
  <c r="E179" i="19"/>
  <c r="C180" i="19"/>
  <c r="D180" i="19" s="1"/>
  <c r="E180" i="19"/>
  <c r="C181" i="19"/>
  <c r="D181" i="19"/>
  <c r="E181" i="19"/>
  <c r="C182" i="19"/>
  <c r="D182" i="19" s="1"/>
  <c r="E182" i="19"/>
  <c r="C183" i="19"/>
  <c r="D183" i="19"/>
  <c r="E183" i="19"/>
  <c r="C184" i="19"/>
  <c r="D184" i="19" s="1"/>
  <c r="E184" i="19"/>
  <c r="C185" i="19"/>
  <c r="D185" i="19"/>
  <c r="E185" i="19"/>
  <c r="C186" i="19"/>
  <c r="D186" i="19"/>
  <c r="E186" i="19"/>
  <c r="C187" i="19"/>
  <c r="D187" i="19"/>
  <c r="E187" i="19"/>
  <c r="C188" i="19"/>
  <c r="D188" i="19" s="1"/>
  <c r="E188" i="19"/>
  <c r="C189" i="19"/>
  <c r="D189" i="19"/>
  <c r="E189" i="19"/>
  <c r="C190" i="19"/>
  <c r="D190" i="19" s="1"/>
  <c r="E190" i="19"/>
  <c r="C191" i="19"/>
  <c r="D191" i="19"/>
  <c r="E191" i="19"/>
  <c r="C192" i="19"/>
  <c r="D192" i="19" s="1"/>
  <c r="E192" i="19"/>
  <c r="C193" i="19"/>
  <c r="D193" i="19"/>
  <c r="E193" i="19"/>
  <c r="C194" i="19"/>
  <c r="D194" i="19"/>
  <c r="E194" i="19"/>
  <c r="C195" i="19"/>
  <c r="D195" i="19"/>
  <c r="E195" i="19"/>
  <c r="C196" i="19"/>
  <c r="D196" i="19" s="1"/>
  <c r="E196" i="19"/>
  <c r="C197" i="19"/>
  <c r="D197" i="19"/>
  <c r="E197" i="19"/>
  <c r="C198" i="19"/>
  <c r="D198" i="19" s="1"/>
  <c r="E198" i="19"/>
  <c r="C199" i="19"/>
  <c r="D199" i="19"/>
  <c r="E199" i="19"/>
  <c r="K36" i="19"/>
  <c r="M34" i="19"/>
  <c r="K31" i="19"/>
  <c r="E130" i="19"/>
  <c r="C130" i="19"/>
  <c r="D130" i="19" s="1"/>
  <c r="E129" i="19"/>
  <c r="C129" i="19"/>
  <c r="D129" i="19" s="1"/>
  <c r="E128" i="19"/>
  <c r="C128" i="19"/>
  <c r="D128" i="19" s="1"/>
  <c r="E127" i="19"/>
  <c r="C127" i="19"/>
  <c r="D127" i="19" s="1"/>
  <c r="E126" i="19"/>
  <c r="C126" i="19"/>
  <c r="D126" i="19" s="1"/>
  <c r="E125" i="19"/>
  <c r="C125" i="19"/>
  <c r="D125" i="19" s="1"/>
  <c r="E124" i="19"/>
  <c r="D124" i="19"/>
  <c r="C124" i="19"/>
  <c r="E123" i="19"/>
  <c r="C123" i="19"/>
  <c r="D123" i="19" s="1"/>
  <c r="E122" i="19"/>
  <c r="C122" i="19"/>
  <c r="D122" i="19" s="1"/>
  <c r="E121" i="19"/>
  <c r="C121" i="19"/>
  <c r="D121" i="19" s="1"/>
  <c r="E120" i="19"/>
  <c r="C120" i="19"/>
  <c r="D120" i="19" s="1"/>
  <c r="E119" i="19"/>
  <c r="C119" i="19"/>
  <c r="D119" i="19" s="1"/>
  <c r="E118" i="19"/>
  <c r="D118" i="19"/>
  <c r="C118" i="19"/>
  <c r="E117" i="19"/>
  <c r="C117" i="19"/>
  <c r="D117" i="19" s="1"/>
  <c r="E116" i="19"/>
  <c r="C116" i="19"/>
  <c r="D116" i="19" s="1"/>
  <c r="E115" i="19"/>
  <c r="C115" i="19"/>
  <c r="D115" i="19" s="1"/>
  <c r="E114" i="19"/>
  <c r="C114" i="19"/>
  <c r="D114" i="19" s="1"/>
  <c r="E113" i="19"/>
  <c r="C113" i="19"/>
  <c r="D113" i="19" s="1"/>
  <c r="E112" i="19"/>
  <c r="C112" i="19"/>
  <c r="D112" i="19" s="1"/>
  <c r="E111" i="19"/>
  <c r="C111" i="19"/>
  <c r="D111" i="19" s="1"/>
  <c r="E110" i="19"/>
  <c r="C110" i="19"/>
  <c r="D110" i="19" s="1"/>
  <c r="E109" i="19"/>
  <c r="C109" i="19"/>
  <c r="D109" i="19" s="1"/>
  <c r="E108" i="19"/>
  <c r="D108" i="19"/>
  <c r="C108" i="19"/>
  <c r="E107" i="19"/>
  <c r="C107" i="19"/>
  <c r="D107" i="19" s="1"/>
  <c r="E106" i="19"/>
  <c r="C106" i="19"/>
  <c r="D106" i="19" s="1"/>
  <c r="E105" i="19"/>
  <c r="C105" i="19"/>
  <c r="D105" i="19" s="1"/>
  <c r="E104" i="19"/>
  <c r="C104" i="19"/>
  <c r="D104" i="19" s="1"/>
  <c r="E103" i="19"/>
  <c r="C103" i="19"/>
  <c r="D103" i="19" s="1"/>
  <c r="E102" i="19"/>
  <c r="C102" i="19"/>
  <c r="D102" i="19" s="1"/>
  <c r="E101" i="19"/>
  <c r="C101" i="19"/>
  <c r="D101" i="19" s="1"/>
  <c r="E100" i="19"/>
  <c r="C100" i="19"/>
  <c r="D100" i="19" s="1"/>
  <c r="E99" i="19"/>
  <c r="C99" i="19"/>
  <c r="D99" i="19" s="1"/>
  <c r="E98" i="19"/>
  <c r="C98" i="19"/>
  <c r="D98" i="19" s="1"/>
  <c r="E97" i="19"/>
  <c r="C97" i="19"/>
  <c r="D97" i="19" s="1"/>
  <c r="E96" i="19"/>
  <c r="D96" i="19"/>
  <c r="C96" i="19"/>
  <c r="E95" i="19"/>
  <c r="C95" i="19"/>
  <c r="D95" i="19" s="1"/>
  <c r="E94" i="19"/>
  <c r="C94" i="19"/>
  <c r="D94" i="19" s="1"/>
  <c r="E93" i="19"/>
  <c r="C93" i="19"/>
  <c r="D93" i="19" s="1"/>
  <c r="E92" i="19"/>
  <c r="C92" i="19"/>
  <c r="D92" i="19" s="1"/>
  <c r="E91" i="19"/>
  <c r="C91" i="19"/>
  <c r="D91" i="19" s="1"/>
  <c r="E90" i="19"/>
  <c r="C90" i="19"/>
  <c r="D90" i="19" s="1"/>
  <c r="E89" i="19"/>
  <c r="C89" i="19"/>
  <c r="D89" i="19" s="1"/>
  <c r="E88" i="19"/>
  <c r="D88" i="19"/>
  <c r="C88" i="19"/>
  <c r="E87" i="19"/>
  <c r="C87" i="19"/>
  <c r="D87" i="19" s="1"/>
  <c r="E86" i="19"/>
  <c r="D86" i="19"/>
  <c r="C86" i="19"/>
  <c r="E85" i="19"/>
  <c r="C85" i="19"/>
  <c r="D85" i="19" s="1"/>
  <c r="E84" i="19"/>
  <c r="C84" i="19"/>
  <c r="D84" i="19" s="1"/>
  <c r="E83" i="19"/>
  <c r="C83" i="19"/>
  <c r="D83" i="19" s="1"/>
  <c r="E82" i="19"/>
  <c r="C82" i="19"/>
  <c r="D82" i="19" s="1"/>
  <c r="E81" i="19"/>
  <c r="C81" i="19"/>
  <c r="D81" i="19" s="1"/>
  <c r="E80" i="19"/>
  <c r="D80" i="19"/>
  <c r="C80" i="19"/>
  <c r="E79" i="19"/>
  <c r="C79" i="19"/>
  <c r="D79" i="19" s="1"/>
  <c r="E78" i="19"/>
  <c r="D78" i="19"/>
  <c r="C78" i="19"/>
  <c r="E77" i="19"/>
  <c r="C77" i="19"/>
  <c r="D77" i="19" s="1"/>
  <c r="E76" i="19"/>
  <c r="D76" i="19"/>
  <c r="C76" i="19"/>
  <c r="E75" i="19"/>
  <c r="C75" i="19"/>
  <c r="D75" i="19" s="1"/>
  <c r="E74" i="19"/>
  <c r="C74" i="19"/>
  <c r="D74" i="19" s="1"/>
  <c r="E73" i="19"/>
  <c r="C73" i="19"/>
  <c r="D73" i="19" s="1"/>
  <c r="E72" i="19"/>
  <c r="C72" i="19"/>
  <c r="D72" i="19" s="1"/>
  <c r="E71" i="19"/>
  <c r="C71" i="19"/>
  <c r="D71" i="19" s="1"/>
  <c r="E70" i="19"/>
  <c r="D70" i="19"/>
  <c r="C70" i="19"/>
  <c r="E69" i="19"/>
  <c r="C69" i="19"/>
  <c r="D69" i="19" s="1"/>
  <c r="E68" i="19"/>
  <c r="D68" i="19"/>
  <c r="C68" i="19"/>
  <c r="E67" i="19"/>
  <c r="C67" i="19"/>
  <c r="D67" i="19" s="1"/>
  <c r="E66" i="19"/>
  <c r="C66" i="19"/>
  <c r="D66" i="19" s="1"/>
  <c r="E65" i="19"/>
  <c r="C65" i="19"/>
  <c r="D65" i="19" s="1"/>
  <c r="E64" i="19"/>
  <c r="D64" i="19"/>
  <c r="C64" i="19"/>
  <c r="E63" i="19"/>
  <c r="C63" i="19"/>
  <c r="D63" i="19" s="1"/>
  <c r="E62" i="19"/>
  <c r="C62" i="19"/>
  <c r="D62" i="19" s="1"/>
  <c r="E61" i="19"/>
  <c r="C61" i="19"/>
  <c r="D61" i="19" s="1"/>
  <c r="E60" i="19"/>
  <c r="D60" i="19"/>
  <c r="C60" i="19"/>
  <c r="E59" i="19"/>
  <c r="C59" i="19"/>
  <c r="D59" i="19" s="1"/>
  <c r="E58" i="19"/>
  <c r="C58" i="19"/>
  <c r="D58" i="19" s="1"/>
  <c r="E57" i="19"/>
  <c r="C57" i="19"/>
  <c r="D57" i="19" s="1"/>
  <c r="E56" i="19"/>
  <c r="C56" i="19"/>
  <c r="D56" i="19" s="1"/>
  <c r="E55" i="19"/>
  <c r="C55" i="19"/>
  <c r="D55" i="19" s="1"/>
  <c r="E54" i="19"/>
  <c r="D54" i="19"/>
  <c r="C54" i="19"/>
  <c r="E53" i="19"/>
  <c r="C53" i="19"/>
  <c r="D53" i="19" s="1"/>
  <c r="E52" i="19"/>
  <c r="C52" i="19"/>
  <c r="D52" i="19" s="1"/>
  <c r="E51" i="19"/>
  <c r="C51" i="19"/>
  <c r="D51" i="19" s="1"/>
  <c r="E50" i="19"/>
  <c r="C50" i="19"/>
  <c r="D50" i="19" s="1"/>
  <c r="E49" i="19"/>
  <c r="C49" i="19"/>
  <c r="D49" i="19" s="1"/>
  <c r="E48" i="19"/>
  <c r="C48" i="19"/>
  <c r="D48" i="19" s="1"/>
  <c r="E47" i="19"/>
  <c r="C47" i="19"/>
  <c r="D47" i="19" s="1"/>
  <c r="E46" i="19"/>
  <c r="C46" i="19"/>
  <c r="D46" i="19" s="1"/>
  <c r="E45" i="19"/>
  <c r="C45" i="19"/>
  <c r="D45" i="19" s="1"/>
  <c r="E44" i="19"/>
  <c r="D44" i="19"/>
  <c r="C44" i="19"/>
  <c r="E43" i="19"/>
  <c r="C43" i="19"/>
  <c r="D43" i="19" s="1"/>
  <c r="E42" i="19"/>
  <c r="C42" i="19"/>
  <c r="D42" i="19" s="1"/>
  <c r="E41" i="19"/>
  <c r="C41" i="19"/>
  <c r="D41" i="19" s="1"/>
  <c r="E40" i="19"/>
  <c r="C40" i="19"/>
  <c r="D40" i="19" s="1"/>
  <c r="E39" i="19"/>
  <c r="C39" i="19"/>
  <c r="D39" i="19" s="1"/>
  <c r="E38" i="19"/>
  <c r="C38" i="19"/>
  <c r="D38" i="19" s="1"/>
  <c r="E37" i="19"/>
  <c r="C37" i="19"/>
  <c r="D37" i="19" s="1"/>
  <c r="E36" i="19"/>
  <c r="C36" i="19"/>
  <c r="D36" i="19" s="1"/>
  <c r="E35" i="19"/>
  <c r="C35" i="19"/>
  <c r="D35" i="19" s="1"/>
  <c r="E34" i="19"/>
  <c r="C34" i="19"/>
  <c r="D34" i="19" s="1"/>
  <c r="E33" i="19"/>
  <c r="C33" i="19"/>
  <c r="D33" i="19" s="1"/>
  <c r="E32" i="19"/>
  <c r="C32" i="19"/>
  <c r="D32" i="19" s="1"/>
  <c r="E31" i="19"/>
  <c r="C31" i="19"/>
  <c r="D31" i="19" s="1"/>
  <c r="E30" i="19"/>
  <c r="C30" i="19"/>
  <c r="D30" i="19" s="1"/>
  <c r="E29" i="19"/>
  <c r="C29" i="19"/>
  <c r="D29" i="19" s="1"/>
  <c r="E28" i="19"/>
  <c r="C28" i="19"/>
  <c r="D28" i="19" s="1"/>
  <c r="E27" i="19"/>
  <c r="C27" i="19"/>
  <c r="D27" i="19" s="1"/>
  <c r="E26" i="19"/>
  <c r="D26" i="19"/>
  <c r="C26" i="19"/>
  <c r="E25" i="19"/>
  <c r="C25" i="19"/>
  <c r="D25" i="19" s="1"/>
  <c r="E24" i="19"/>
  <c r="D24" i="19"/>
  <c r="C24" i="19"/>
  <c r="E23" i="19"/>
  <c r="C23" i="19"/>
  <c r="D23" i="19" s="1"/>
  <c r="E22" i="19"/>
  <c r="C22" i="19"/>
  <c r="D22" i="19" s="1"/>
  <c r="E21" i="19"/>
  <c r="C21" i="19"/>
  <c r="D21" i="19" s="1"/>
  <c r="J16" i="19" a="1"/>
  <c r="J16" i="19" s="1"/>
  <c r="F9" i="8" s="1"/>
  <c r="J9" i="19"/>
  <c r="B192" i="3"/>
  <c r="C192" i="3" s="1"/>
  <c r="B193" i="3"/>
  <c r="C193" i="3"/>
  <c r="D193" i="3" s="1"/>
  <c r="B194" i="3"/>
  <c r="C194" i="3" s="1"/>
  <c r="B195" i="3"/>
  <c r="C195" i="3"/>
  <c r="D195" i="3" s="1"/>
  <c r="B196" i="3"/>
  <c r="C196" i="3" s="1"/>
  <c r="B197" i="3"/>
  <c r="C197" i="3"/>
  <c r="D197" i="3" s="1"/>
  <c r="B198" i="3"/>
  <c r="C198" i="3" s="1"/>
  <c r="B199" i="3"/>
  <c r="C199" i="3"/>
  <c r="D199" i="3" s="1"/>
  <c r="B200" i="3"/>
  <c r="C200" i="3" s="1"/>
  <c r="B201" i="3"/>
  <c r="C201" i="3"/>
  <c r="D201" i="3" s="1"/>
  <c r="B202" i="3"/>
  <c r="C202" i="3" s="1"/>
  <c r="C120" i="13"/>
  <c r="D120" i="13" s="1"/>
  <c r="E120" i="13"/>
  <c r="C121" i="13"/>
  <c r="D121" i="13"/>
  <c r="E121" i="13"/>
  <c r="M11" i="13" s="1"/>
  <c r="C122" i="13"/>
  <c r="D122" i="13"/>
  <c r="E122" i="13"/>
  <c r="C123" i="13"/>
  <c r="D123" i="13"/>
  <c r="E123" i="13"/>
  <c r="C124" i="13"/>
  <c r="D124" i="13"/>
  <c r="E124" i="13"/>
  <c r="C125" i="13"/>
  <c r="D125" i="13" s="1"/>
  <c r="E125" i="13"/>
  <c r="C126" i="13"/>
  <c r="D126" i="13" s="1"/>
  <c r="E126" i="13"/>
  <c r="C127" i="13"/>
  <c r="D127" i="13" s="1"/>
  <c r="E127" i="13"/>
  <c r="C128" i="13"/>
  <c r="D128" i="13" s="1"/>
  <c r="E128" i="13"/>
  <c r="C129" i="13"/>
  <c r="D129" i="13"/>
  <c r="E129" i="13"/>
  <c r="K13" i="13" s="1"/>
  <c r="C130" i="13"/>
  <c r="D130" i="13"/>
  <c r="E130" i="13"/>
  <c r="K137" i="1"/>
  <c r="L137" i="1"/>
  <c r="U137" i="1"/>
  <c r="M13" i="13"/>
  <c r="C106" i="13"/>
  <c r="D106" i="13"/>
  <c r="E106" i="13"/>
  <c r="C107" i="13"/>
  <c r="D107" i="13"/>
  <c r="E107" i="13"/>
  <c r="C108" i="13"/>
  <c r="D108" i="13"/>
  <c r="E108" i="13"/>
  <c r="C109" i="13"/>
  <c r="D109" i="13" s="1"/>
  <c r="E109" i="13"/>
  <c r="C110" i="13"/>
  <c r="D110" i="13"/>
  <c r="E110" i="13"/>
  <c r="C111" i="13"/>
  <c r="D111" i="13" s="1"/>
  <c r="E111" i="13"/>
  <c r="C112" i="13"/>
  <c r="D112" i="13" s="1"/>
  <c r="E112" i="13"/>
  <c r="C113" i="13"/>
  <c r="D113" i="13"/>
  <c r="E113" i="13"/>
  <c r="C114" i="13"/>
  <c r="D114" i="13"/>
  <c r="E114" i="13"/>
  <c r="C115" i="13"/>
  <c r="D115" i="13"/>
  <c r="E115" i="13"/>
  <c r="C116" i="13"/>
  <c r="D116" i="13"/>
  <c r="E116" i="13"/>
  <c r="C117" i="13"/>
  <c r="D117" i="13" s="1"/>
  <c r="E117" i="13"/>
  <c r="C118" i="13"/>
  <c r="D118" i="13"/>
  <c r="E118" i="13"/>
  <c r="C119" i="13"/>
  <c r="D119" i="13" s="1"/>
  <c r="E119" i="13"/>
  <c r="B178" i="3"/>
  <c r="C178" i="3"/>
  <c r="D178" i="3" s="1"/>
  <c r="B179" i="3"/>
  <c r="C179" i="3"/>
  <c r="D179" i="3" s="1"/>
  <c r="B180" i="3"/>
  <c r="C180" i="3"/>
  <c r="D180" i="3" s="1"/>
  <c r="B181" i="3"/>
  <c r="C181" i="3"/>
  <c r="D181" i="3" s="1"/>
  <c r="B182" i="3"/>
  <c r="C182" i="3"/>
  <c r="D182" i="3" s="1"/>
  <c r="B183" i="3"/>
  <c r="C183" i="3"/>
  <c r="D183" i="3" s="1"/>
  <c r="B184" i="3"/>
  <c r="C184" i="3"/>
  <c r="D184" i="3" s="1"/>
  <c r="B185" i="3"/>
  <c r="C185" i="3"/>
  <c r="D185" i="3" s="1"/>
  <c r="B186" i="3"/>
  <c r="C186" i="3"/>
  <c r="D186" i="3" s="1"/>
  <c r="B187" i="3"/>
  <c r="C187" i="3"/>
  <c r="D187" i="3" s="1"/>
  <c r="B188" i="3"/>
  <c r="C188" i="3"/>
  <c r="D188" i="3" s="1"/>
  <c r="B189" i="3"/>
  <c r="C189" i="3"/>
  <c r="D189" i="3" s="1"/>
  <c r="B190" i="3"/>
  <c r="C190" i="3"/>
  <c r="D190" i="3" s="1"/>
  <c r="B191" i="3"/>
  <c r="C191" i="3"/>
  <c r="D191" i="3" s="1"/>
  <c r="V137" i="1" l="1"/>
  <c r="M13" i="19"/>
  <c r="M30" i="19"/>
  <c r="L34" i="19"/>
  <c r="K11" i="19"/>
  <c r="L30" i="19"/>
  <c r="K34" i="19"/>
  <c r="N34" i="19" s="1"/>
  <c r="M32" i="19"/>
  <c r="L32" i="19"/>
  <c r="K30" i="19"/>
  <c r="N30" i="19" s="1"/>
  <c r="M33" i="19"/>
  <c r="K32" i="19"/>
  <c r="M35" i="19"/>
  <c r="L33" i="19"/>
  <c r="L35" i="19"/>
  <c r="K33" i="19"/>
  <c r="N33" i="19" s="1"/>
  <c r="K35" i="19"/>
  <c r="M36" i="19"/>
  <c r="N36" i="19" s="1"/>
  <c r="M31" i="19"/>
  <c r="N31" i="19" s="1"/>
  <c r="L31" i="19"/>
  <c r="M25" i="19"/>
  <c r="L13" i="19"/>
  <c r="L14" i="19" s="1"/>
  <c r="L9" i="19"/>
  <c r="L10" i="19" s="1"/>
  <c r="M11" i="19"/>
  <c r="M12" i="19" s="1"/>
  <c r="M14" i="19"/>
  <c r="K12" i="19"/>
  <c r="L11" i="19"/>
  <c r="L12" i="19" s="1"/>
  <c r="K21" i="19"/>
  <c r="L22" i="19"/>
  <c r="M23" i="19"/>
  <c r="K29" i="19"/>
  <c r="M22" i="19"/>
  <c r="L29" i="19"/>
  <c r="M21" i="19"/>
  <c r="K27" i="19"/>
  <c r="L28" i="19"/>
  <c r="M29" i="19"/>
  <c r="K22" i="19"/>
  <c r="K28" i="19"/>
  <c r="K25" i="19"/>
  <c r="N25" i="19" s="1"/>
  <c r="L26" i="19"/>
  <c r="M27" i="19"/>
  <c r="M24" i="19"/>
  <c r="K9" i="19"/>
  <c r="K26" i="19"/>
  <c r="L27" i="19"/>
  <c r="M28" i="19"/>
  <c r="K13" i="19"/>
  <c r="K14" i="19" s="1"/>
  <c r="K24" i="19"/>
  <c r="L25" i="19"/>
  <c r="M26" i="19"/>
  <c r="L23" i="19"/>
  <c r="L21" i="19"/>
  <c r="M9" i="19"/>
  <c r="M10" i="19" s="1"/>
  <c r="K23" i="19"/>
  <c r="L24" i="19"/>
  <c r="D202" i="3"/>
  <c r="E202" i="3"/>
  <c r="D196" i="3"/>
  <c r="E196" i="3"/>
  <c r="D200" i="3"/>
  <c r="E200" i="3"/>
  <c r="D194" i="3"/>
  <c r="E194" i="3"/>
  <c r="D198" i="3"/>
  <c r="E198" i="3"/>
  <c r="D192" i="3"/>
  <c r="E192" i="3"/>
  <c r="E201" i="3"/>
  <c r="E199" i="3"/>
  <c r="E197" i="3"/>
  <c r="E195" i="3"/>
  <c r="E193" i="3"/>
  <c r="L13" i="13"/>
  <c r="K11" i="13"/>
  <c r="L11" i="13"/>
  <c r="E191" i="3"/>
  <c r="E189" i="3"/>
  <c r="E187" i="3"/>
  <c r="E185" i="3"/>
  <c r="E183" i="3"/>
  <c r="E181" i="3"/>
  <c r="E179" i="3"/>
  <c r="E190" i="3"/>
  <c r="E188" i="3"/>
  <c r="E186" i="3"/>
  <c r="E184" i="3"/>
  <c r="E182" i="3"/>
  <c r="E180" i="3"/>
  <c r="E178" i="3"/>
  <c r="N35" i="19" l="1"/>
  <c r="K10" i="19"/>
  <c r="F8" i="8"/>
  <c r="F10" i="8" s="1"/>
  <c r="N32" i="19"/>
  <c r="N21" i="19"/>
  <c r="N27" i="19"/>
  <c r="N23" i="19"/>
  <c r="N29" i="19"/>
  <c r="N24" i="19"/>
  <c r="N28" i="19"/>
  <c r="N22" i="19"/>
  <c r="N26" i="19"/>
  <c r="N26" i="3"/>
  <c r="J25" i="3"/>
  <c r="R25" i="3"/>
  <c r="O26" i="3"/>
  <c r="K25" i="3"/>
  <c r="S25" i="3"/>
  <c r="P26" i="3"/>
  <c r="L25" i="3"/>
  <c r="T25" i="3"/>
  <c r="M25" i="3"/>
  <c r="Q26" i="3"/>
  <c r="J26" i="3"/>
  <c r="R26" i="3"/>
  <c r="N25" i="3"/>
  <c r="U25" i="3"/>
  <c r="K26" i="3"/>
  <c r="S26" i="3"/>
  <c r="O25" i="3"/>
  <c r="L26" i="3"/>
  <c r="T26" i="3"/>
  <c r="P25" i="3"/>
  <c r="M26" i="3"/>
  <c r="U26" i="3"/>
  <c r="Q25" i="3"/>
  <c r="J32" i="13" l="1"/>
  <c r="K22" i="13"/>
  <c r="L22" i="13"/>
  <c r="M22" i="13"/>
  <c r="K23" i="13"/>
  <c r="L23" i="13"/>
  <c r="M23" i="13"/>
  <c r="K24" i="13"/>
  <c r="L24" i="13"/>
  <c r="M24" i="13"/>
  <c r="K25" i="13"/>
  <c r="L25" i="13"/>
  <c r="M25" i="13"/>
  <c r="K26" i="13"/>
  <c r="L26" i="13"/>
  <c r="M26" i="13"/>
  <c r="K27" i="13"/>
  <c r="L27" i="13"/>
  <c r="M27" i="13"/>
  <c r="K28" i="13"/>
  <c r="L28" i="13"/>
  <c r="M28" i="13"/>
  <c r="K29" i="13"/>
  <c r="L29" i="13"/>
  <c r="M29" i="13"/>
  <c r="M21" i="13"/>
  <c r="L21" i="13"/>
  <c r="K21" i="13"/>
  <c r="N21" i="13" s="1"/>
  <c r="E105" i="13"/>
  <c r="C105" i="13"/>
  <c r="D105" i="13" s="1"/>
  <c r="E104" i="13"/>
  <c r="D104" i="13"/>
  <c r="C104" i="13"/>
  <c r="E103" i="13"/>
  <c r="D103" i="13"/>
  <c r="C103" i="13"/>
  <c r="E102" i="13"/>
  <c r="D102" i="13"/>
  <c r="C102" i="13"/>
  <c r="E101" i="13"/>
  <c r="C101" i="13"/>
  <c r="D101" i="13" s="1"/>
  <c r="E100" i="13"/>
  <c r="D100" i="13"/>
  <c r="C100" i="13"/>
  <c r="E99" i="13"/>
  <c r="C99" i="13"/>
  <c r="D99" i="13" s="1"/>
  <c r="E98" i="13"/>
  <c r="C98" i="13"/>
  <c r="D98" i="13" s="1"/>
  <c r="E97" i="13"/>
  <c r="C97" i="13"/>
  <c r="D97" i="13" s="1"/>
  <c r="E96" i="13"/>
  <c r="D96" i="13"/>
  <c r="C96" i="13"/>
  <c r="E95" i="13"/>
  <c r="D95" i="13"/>
  <c r="C95" i="13"/>
  <c r="E94" i="13"/>
  <c r="D94" i="13"/>
  <c r="C94" i="13"/>
  <c r="E93" i="13"/>
  <c r="C93" i="13"/>
  <c r="D93" i="13" s="1"/>
  <c r="E92" i="13"/>
  <c r="D92" i="13"/>
  <c r="C92" i="13"/>
  <c r="E91" i="13"/>
  <c r="C91" i="13"/>
  <c r="D91" i="13" s="1"/>
  <c r="E90" i="13"/>
  <c r="C90" i="13"/>
  <c r="D90" i="13" s="1"/>
  <c r="E89" i="13"/>
  <c r="C89" i="13"/>
  <c r="D89" i="13" s="1"/>
  <c r="E88" i="13"/>
  <c r="D88" i="13"/>
  <c r="C88" i="13"/>
  <c r="E87" i="13"/>
  <c r="D87" i="13"/>
  <c r="C87" i="13"/>
  <c r="E86" i="13"/>
  <c r="D86" i="13"/>
  <c r="C86" i="13"/>
  <c r="E85" i="13"/>
  <c r="C85" i="13"/>
  <c r="D85" i="13" s="1"/>
  <c r="E84" i="13"/>
  <c r="D84" i="13"/>
  <c r="C84" i="13"/>
  <c r="E83" i="13"/>
  <c r="C83" i="13"/>
  <c r="D83" i="13" s="1"/>
  <c r="E82" i="13"/>
  <c r="C82" i="13"/>
  <c r="D82" i="13" s="1"/>
  <c r="E81" i="13"/>
  <c r="C81" i="13"/>
  <c r="D81" i="13" s="1"/>
  <c r="E80" i="13"/>
  <c r="D80" i="13"/>
  <c r="C80" i="13"/>
  <c r="E79" i="13"/>
  <c r="D79" i="13"/>
  <c r="C79" i="13"/>
  <c r="E78" i="13"/>
  <c r="D78" i="13"/>
  <c r="C78" i="13"/>
  <c r="E77" i="13"/>
  <c r="C77" i="13"/>
  <c r="D77" i="13" s="1"/>
  <c r="E76" i="13"/>
  <c r="D76" i="13"/>
  <c r="C76" i="13"/>
  <c r="E75" i="13"/>
  <c r="C75" i="13"/>
  <c r="D75" i="13" s="1"/>
  <c r="E74" i="13"/>
  <c r="C74" i="13"/>
  <c r="D74" i="13" s="1"/>
  <c r="E73" i="13"/>
  <c r="C73" i="13"/>
  <c r="D73" i="13" s="1"/>
  <c r="E72" i="13"/>
  <c r="D72" i="13"/>
  <c r="C72" i="13"/>
  <c r="E71" i="13"/>
  <c r="D71" i="13"/>
  <c r="C71" i="13"/>
  <c r="E70" i="13"/>
  <c r="D70" i="13"/>
  <c r="C70" i="13"/>
  <c r="E69" i="13"/>
  <c r="C69" i="13"/>
  <c r="D69" i="13" s="1"/>
  <c r="E68" i="13"/>
  <c r="D68" i="13"/>
  <c r="C68" i="13"/>
  <c r="E67" i="13"/>
  <c r="C67" i="13"/>
  <c r="D67" i="13" s="1"/>
  <c r="E66" i="13"/>
  <c r="C66" i="13"/>
  <c r="D66" i="13" s="1"/>
  <c r="E65" i="13"/>
  <c r="C65" i="13"/>
  <c r="D65" i="13" s="1"/>
  <c r="E64" i="13"/>
  <c r="D64" i="13"/>
  <c r="C64" i="13"/>
  <c r="E63" i="13"/>
  <c r="D63" i="13"/>
  <c r="C63" i="13"/>
  <c r="E62" i="13"/>
  <c r="D62" i="13"/>
  <c r="C62" i="13"/>
  <c r="E61" i="13"/>
  <c r="C61" i="13"/>
  <c r="D61" i="13" s="1"/>
  <c r="E60" i="13"/>
  <c r="D60" i="13"/>
  <c r="C60" i="13"/>
  <c r="E59" i="13"/>
  <c r="C59" i="13"/>
  <c r="D59" i="13" s="1"/>
  <c r="E58" i="13"/>
  <c r="C58" i="13"/>
  <c r="D58" i="13" s="1"/>
  <c r="E57" i="13"/>
  <c r="C57" i="13"/>
  <c r="D57" i="13" s="1"/>
  <c r="E56" i="13"/>
  <c r="D56" i="13"/>
  <c r="C56" i="13"/>
  <c r="E55" i="13"/>
  <c r="D55" i="13"/>
  <c r="C55" i="13"/>
  <c r="E54" i="13"/>
  <c r="D54" i="13"/>
  <c r="C54" i="13"/>
  <c r="E53" i="13"/>
  <c r="C53" i="13"/>
  <c r="D53" i="13" s="1"/>
  <c r="E52" i="13"/>
  <c r="D52" i="13"/>
  <c r="C52" i="13"/>
  <c r="E51" i="13"/>
  <c r="C51" i="13"/>
  <c r="D51" i="13" s="1"/>
  <c r="E50" i="13"/>
  <c r="C50" i="13"/>
  <c r="D50" i="13" s="1"/>
  <c r="E49" i="13"/>
  <c r="C49" i="13"/>
  <c r="D49" i="13" s="1"/>
  <c r="E48" i="13"/>
  <c r="D48" i="13"/>
  <c r="C48" i="13"/>
  <c r="E47" i="13"/>
  <c r="D47" i="13"/>
  <c r="C47" i="13"/>
  <c r="E46" i="13"/>
  <c r="D46" i="13"/>
  <c r="C46" i="13"/>
  <c r="E45" i="13"/>
  <c r="C45" i="13"/>
  <c r="D45" i="13" s="1"/>
  <c r="E44" i="13"/>
  <c r="D44" i="13"/>
  <c r="C44" i="13"/>
  <c r="E43" i="13"/>
  <c r="C43" i="13"/>
  <c r="D43" i="13" s="1"/>
  <c r="E42" i="13"/>
  <c r="C42" i="13"/>
  <c r="D42" i="13" s="1"/>
  <c r="E41" i="13"/>
  <c r="C41" i="13"/>
  <c r="D41" i="13" s="1"/>
  <c r="E40" i="13"/>
  <c r="D40" i="13"/>
  <c r="C40" i="13"/>
  <c r="E39" i="13"/>
  <c r="D39" i="13"/>
  <c r="C39" i="13"/>
  <c r="E38" i="13"/>
  <c r="D38" i="13"/>
  <c r="C38" i="13"/>
  <c r="E37" i="13"/>
  <c r="C37" i="13"/>
  <c r="D37" i="13" s="1"/>
  <c r="E36" i="13"/>
  <c r="D36" i="13"/>
  <c r="C36" i="13"/>
  <c r="E35" i="13"/>
  <c r="C35" i="13"/>
  <c r="D35" i="13" s="1"/>
  <c r="E34" i="13"/>
  <c r="C34" i="13"/>
  <c r="D34" i="13" s="1"/>
  <c r="E33" i="13"/>
  <c r="C33" i="13"/>
  <c r="D33" i="13" s="1"/>
  <c r="E32" i="13"/>
  <c r="D32" i="13"/>
  <c r="C32" i="13"/>
  <c r="E31" i="13"/>
  <c r="D31" i="13"/>
  <c r="C31" i="13"/>
  <c r="E30" i="13"/>
  <c r="D30" i="13"/>
  <c r="C30" i="13"/>
  <c r="E29" i="13"/>
  <c r="C29" i="13"/>
  <c r="D29" i="13" s="1"/>
  <c r="E28" i="13"/>
  <c r="D28" i="13"/>
  <c r="C28" i="13"/>
  <c r="E27" i="13"/>
  <c r="C27" i="13"/>
  <c r="D27" i="13" s="1"/>
  <c r="E26" i="13"/>
  <c r="C26" i="13"/>
  <c r="D26" i="13" s="1"/>
  <c r="E25" i="13"/>
  <c r="C25" i="13"/>
  <c r="D25" i="13" s="1"/>
  <c r="E24" i="13"/>
  <c r="D24" i="13"/>
  <c r="C24" i="13"/>
  <c r="E23" i="13"/>
  <c r="D23" i="13"/>
  <c r="C23" i="13"/>
  <c r="E22" i="13"/>
  <c r="D22" i="13"/>
  <c r="C22" i="13"/>
  <c r="E21" i="13"/>
  <c r="C21" i="13"/>
  <c r="D21" i="13" s="1"/>
  <c r="J16" i="13" a="1"/>
  <c r="J16" i="13" s="1"/>
  <c r="J9" i="13"/>
  <c r="M9" i="13" s="1"/>
  <c r="V25" i="3"/>
  <c r="V26" i="3"/>
  <c r="V27" i="3"/>
  <c r="V28" i="3"/>
  <c r="V29" i="3"/>
  <c r="V30" i="3"/>
  <c r="V31" i="3"/>
  <c r="V32" i="3"/>
  <c r="V33" i="3"/>
  <c r="W25" i="3"/>
  <c r="W26" i="3"/>
  <c r="W27" i="3"/>
  <c r="W28" i="3"/>
  <c r="W29" i="3"/>
  <c r="W30" i="3"/>
  <c r="W31" i="3"/>
  <c r="W32" i="3"/>
  <c r="W33" i="3"/>
  <c r="N28" i="13" l="1"/>
  <c r="M10" i="13"/>
  <c r="D9" i="8"/>
  <c r="M12" i="13"/>
  <c r="L12" i="13"/>
  <c r="K12" i="13"/>
  <c r="M14" i="13"/>
  <c r="L14" i="13"/>
  <c r="K14" i="13"/>
  <c r="N25" i="13"/>
  <c r="N22" i="13"/>
  <c r="N27" i="13"/>
  <c r="N23" i="13"/>
  <c r="N29" i="13"/>
  <c r="N24" i="13"/>
  <c r="N26" i="13"/>
  <c r="K32" i="13"/>
  <c r="K33" i="13"/>
  <c r="K9" i="13"/>
  <c r="L9" i="13"/>
  <c r="L10" i="13" s="1"/>
  <c r="D8" i="8" l="1"/>
  <c r="K10" i="13"/>
  <c r="K34" i="13"/>
  <c r="D168" i="3"/>
  <c r="E168" i="3"/>
  <c r="D169" i="3"/>
  <c r="E169" i="3"/>
  <c r="D170" i="3"/>
  <c r="E170" i="3"/>
  <c r="D171" i="3"/>
  <c r="E171" i="3"/>
  <c r="D172" i="3"/>
  <c r="E172" i="3"/>
  <c r="D173" i="3"/>
  <c r="E173" i="3"/>
  <c r="D174" i="3"/>
  <c r="E174" i="3"/>
  <c r="D175" i="3"/>
  <c r="E175" i="3"/>
  <c r="D176" i="3"/>
  <c r="E176" i="3"/>
  <c r="D177" i="3"/>
  <c r="E177" i="3"/>
  <c r="B177" i="3"/>
  <c r="C177" i="3" s="1"/>
  <c r="B168" i="3"/>
  <c r="C168" i="3" s="1"/>
  <c r="B169" i="3"/>
  <c r="C169" i="3" s="1"/>
  <c r="B170" i="3"/>
  <c r="C170" i="3"/>
  <c r="B171" i="3"/>
  <c r="C171" i="3" s="1"/>
  <c r="B172" i="3"/>
  <c r="C172" i="3" s="1"/>
  <c r="B173" i="3"/>
  <c r="C173" i="3"/>
  <c r="B174" i="3"/>
  <c r="C174" i="3"/>
  <c r="B175" i="3"/>
  <c r="C175" i="3"/>
  <c r="B176" i="3"/>
  <c r="C176" i="3" s="1"/>
  <c r="B32" i="3" l="1"/>
  <c r="C32" i="3" s="1"/>
  <c r="B166" i="3"/>
  <c r="C166" i="3" s="1"/>
  <c r="D166" i="3" s="1"/>
  <c r="B167" i="3"/>
  <c r="C167" i="3" s="1"/>
  <c r="D167" i="3" s="1"/>
  <c r="D32" i="3" l="1"/>
  <c r="E32" i="3"/>
  <c r="E167" i="3"/>
  <c r="E166" i="3"/>
  <c r="C60" i="1"/>
  <c r="B163" i="3" l="1"/>
  <c r="C163" i="3" s="1"/>
  <c r="D163" i="3" s="1"/>
  <c r="B164" i="3"/>
  <c r="C164" i="3" s="1"/>
  <c r="D164" i="3" s="1"/>
  <c r="B165" i="3"/>
  <c r="C165" i="3" s="1"/>
  <c r="D165" i="3" s="1"/>
  <c r="E165" i="3" l="1"/>
  <c r="E164" i="3"/>
  <c r="E163" i="3"/>
  <c r="B157" i="3"/>
  <c r="C157" i="3" s="1"/>
  <c r="B158" i="3"/>
  <c r="C158" i="3" s="1"/>
  <c r="B159" i="3"/>
  <c r="C159" i="3" s="1"/>
  <c r="B160" i="3"/>
  <c r="C160" i="3" s="1"/>
  <c r="B161" i="3"/>
  <c r="C161" i="3" s="1"/>
  <c r="B162" i="3"/>
  <c r="C162" i="3" s="1"/>
  <c r="D162" i="3" l="1"/>
  <c r="E162" i="3"/>
  <c r="D158" i="3"/>
  <c r="E158" i="3"/>
  <c r="E161" i="3"/>
  <c r="D161" i="3"/>
  <c r="E157" i="3"/>
  <c r="D157" i="3"/>
  <c r="D160" i="3"/>
  <c r="E160" i="3"/>
  <c r="E159" i="3"/>
  <c r="D159" i="3"/>
  <c r="U65" i="1"/>
  <c r="L65" i="1"/>
  <c r="K65" i="1"/>
  <c r="V65" i="1" l="1"/>
  <c r="B156" i="3"/>
  <c r="C156" i="3" s="1"/>
  <c r="D156" i="3" l="1"/>
  <c r="E156" i="3"/>
  <c r="B155" i="3" l="1"/>
  <c r="C155" i="3" s="1"/>
  <c r="D155" i="3" l="1"/>
  <c r="E155" i="3"/>
  <c r="D5" i="8" l="1"/>
  <c r="B154" i="3" l="1"/>
  <c r="C154" i="3" s="1"/>
  <c r="D154" i="3" l="1"/>
  <c r="E154" i="3"/>
  <c r="B152" i="3" l="1"/>
  <c r="C152" i="3" s="1"/>
  <c r="D152" i="3" s="1"/>
  <c r="B153" i="3"/>
  <c r="C153" i="3" s="1"/>
  <c r="E152" i="3" l="1"/>
  <c r="D153" i="3"/>
  <c r="E153" i="3"/>
  <c r="B151" i="3"/>
  <c r="C151" i="3" s="1"/>
  <c r="E151" i="3" l="1"/>
  <c r="D151" i="3"/>
  <c r="B148" i="3" l="1"/>
  <c r="C148" i="3" s="1"/>
  <c r="E148" i="3" s="1"/>
  <c r="B149" i="3"/>
  <c r="C149" i="3" s="1"/>
  <c r="B150" i="3"/>
  <c r="C150" i="3" s="1"/>
  <c r="E44" i="1"/>
  <c r="E150" i="3" l="1"/>
  <c r="D150" i="3"/>
  <c r="E149" i="3"/>
  <c r="D149" i="3"/>
  <c r="D148" i="3"/>
  <c r="B147" i="3"/>
  <c r="C147" i="3" s="1"/>
  <c r="D147" i="3" l="1"/>
  <c r="E147" i="3"/>
  <c r="U133" i="1"/>
  <c r="U127" i="1"/>
  <c r="T126" i="1"/>
  <c r="S126" i="1"/>
  <c r="R126" i="1"/>
  <c r="Q126" i="1"/>
  <c r="P126" i="1"/>
  <c r="O126" i="1"/>
  <c r="N126" i="1"/>
  <c r="M126" i="1"/>
  <c r="U126" i="1" l="1"/>
  <c r="M53" i="1"/>
  <c r="D3" i="8" l="1"/>
  <c r="D4" i="8"/>
  <c r="C8" i="8" l="1"/>
  <c r="E8" i="8"/>
  <c r="D20" i="1"/>
  <c r="D91" i="1"/>
  <c r="J8" i="8"/>
  <c r="U51" i="1"/>
  <c r="U80" i="1"/>
  <c r="K130" i="1"/>
  <c r="K129" i="1"/>
  <c r="K128" i="1"/>
  <c r="K127" i="1"/>
  <c r="K125" i="1"/>
  <c r="K122" i="1"/>
  <c r="K121" i="1"/>
  <c r="K120" i="1"/>
  <c r="K119" i="1"/>
  <c r="K118" i="1"/>
  <c r="K117" i="1"/>
  <c r="K116" i="1"/>
  <c r="K115" i="1"/>
  <c r="K114" i="1"/>
  <c r="K113" i="1"/>
  <c r="K112" i="1"/>
  <c r="K110" i="1"/>
  <c r="K107" i="1"/>
  <c r="K105" i="1"/>
  <c r="K104" i="1"/>
  <c r="K103" i="1"/>
  <c r="K102" i="1"/>
  <c r="K98" i="1"/>
  <c r="K97" i="1"/>
  <c r="K96" i="1"/>
  <c r="K95" i="1"/>
  <c r="K93" i="1"/>
  <c r="K90" i="1"/>
  <c r="K89" i="1"/>
  <c r="K88" i="1"/>
  <c r="K87" i="1"/>
  <c r="K86" i="1"/>
  <c r="K85" i="1"/>
  <c r="K84" i="1"/>
  <c r="K83" i="1"/>
  <c r="K82" i="1"/>
  <c r="K80" i="1"/>
  <c r="K77" i="1"/>
  <c r="K76" i="1"/>
  <c r="K75" i="1"/>
  <c r="K74" i="1"/>
  <c r="K73" i="1"/>
  <c r="K64" i="1"/>
  <c r="K63" i="1"/>
  <c r="K69" i="1"/>
  <c r="K59" i="1"/>
  <c r="K58" i="1"/>
  <c r="K57" i="1"/>
  <c r="K56" i="1"/>
  <c r="K55" i="1"/>
  <c r="K54" i="1"/>
  <c r="K134" i="1"/>
  <c r="K133" i="1"/>
  <c r="K126" i="1"/>
  <c r="K111" i="1"/>
  <c r="K101" i="1"/>
  <c r="K94" i="1"/>
  <c r="K81" i="1"/>
  <c r="K72" i="1"/>
  <c r="K62" i="1"/>
  <c r="K53" i="1"/>
  <c r="C131" i="1" l="1"/>
  <c r="K131" i="1" s="1"/>
  <c r="C123" i="1"/>
  <c r="K123" i="1" s="1"/>
  <c r="C108" i="1"/>
  <c r="K108" i="1" s="1"/>
  <c r="C99" i="1"/>
  <c r="K99" i="1" s="1"/>
  <c r="C91" i="1"/>
  <c r="K91" i="1" s="1"/>
  <c r="C78" i="1"/>
  <c r="K78" i="1" s="1"/>
  <c r="C70" i="1"/>
  <c r="K70" i="1" s="1"/>
  <c r="K60" i="1"/>
  <c r="U95" i="1" l="1"/>
  <c r="U54" i="1"/>
  <c r="U82" i="1"/>
  <c r="U134" i="1"/>
  <c r="U132" i="1"/>
  <c r="U131" i="1"/>
  <c r="U130" i="1"/>
  <c r="U129" i="1"/>
  <c r="U128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0" i="1"/>
  <c r="U109" i="1"/>
  <c r="U108" i="1"/>
  <c r="U107" i="1"/>
  <c r="U105" i="1"/>
  <c r="U104" i="1"/>
  <c r="U103" i="1"/>
  <c r="U102" i="1"/>
  <c r="U100" i="1"/>
  <c r="U99" i="1"/>
  <c r="U98" i="1"/>
  <c r="U97" i="1"/>
  <c r="U96" i="1"/>
  <c r="U93" i="1"/>
  <c r="U92" i="1"/>
  <c r="U91" i="1"/>
  <c r="U90" i="1"/>
  <c r="U89" i="1"/>
  <c r="U88" i="1"/>
  <c r="U87" i="1"/>
  <c r="U86" i="1"/>
  <c r="U85" i="1"/>
  <c r="U84" i="1"/>
  <c r="U83" i="1"/>
  <c r="U77" i="1"/>
  <c r="U76" i="1"/>
  <c r="U75" i="1"/>
  <c r="U74" i="1"/>
  <c r="U73" i="1"/>
  <c r="U71" i="1"/>
  <c r="U70" i="1"/>
  <c r="U64" i="1"/>
  <c r="U63" i="1"/>
  <c r="U69" i="1"/>
  <c r="U61" i="1"/>
  <c r="U60" i="1"/>
  <c r="U59" i="1"/>
  <c r="U58" i="1"/>
  <c r="U57" i="1"/>
  <c r="U56" i="1"/>
  <c r="U55" i="1"/>
  <c r="L130" i="1"/>
  <c r="L129" i="1"/>
  <c r="L128" i="1"/>
  <c r="L127" i="1"/>
  <c r="V127" i="1" s="1"/>
  <c r="L122" i="1"/>
  <c r="L121" i="1"/>
  <c r="L120" i="1"/>
  <c r="L119" i="1"/>
  <c r="L118" i="1"/>
  <c r="L117" i="1"/>
  <c r="L116" i="1"/>
  <c r="L115" i="1"/>
  <c r="L114" i="1"/>
  <c r="L113" i="1"/>
  <c r="L112" i="1"/>
  <c r="L107" i="1"/>
  <c r="L105" i="1"/>
  <c r="L104" i="1"/>
  <c r="L103" i="1"/>
  <c r="L102" i="1"/>
  <c r="L98" i="1"/>
  <c r="L97" i="1"/>
  <c r="L96" i="1"/>
  <c r="L95" i="1"/>
  <c r="L90" i="1"/>
  <c r="L89" i="1"/>
  <c r="L88" i="1"/>
  <c r="L87" i="1"/>
  <c r="L86" i="1"/>
  <c r="L85" i="1"/>
  <c r="L84" i="1"/>
  <c r="L83" i="1"/>
  <c r="L82" i="1"/>
  <c r="L77" i="1"/>
  <c r="L76" i="1"/>
  <c r="L75" i="1"/>
  <c r="L74" i="1"/>
  <c r="L73" i="1"/>
  <c r="L64" i="1"/>
  <c r="L63" i="1"/>
  <c r="L59" i="1"/>
  <c r="L58" i="1"/>
  <c r="L57" i="1"/>
  <c r="L56" i="1"/>
  <c r="L55" i="1"/>
  <c r="T111" i="1"/>
  <c r="S111" i="1"/>
  <c r="R111" i="1"/>
  <c r="Q111" i="1"/>
  <c r="P111" i="1"/>
  <c r="O111" i="1"/>
  <c r="N111" i="1"/>
  <c r="M111" i="1"/>
  <c r="T101" i="1"/>
  <c r="S101" i="1"/>
  <c r="R101" i="1"/>
  <c r="Q101" i="1"/>
  <c r="P101" i="1"/>
  <c r="O101" i="1"/>
  <c r="N101" i="1"/>
  <c r="M101" i="1"/>
  <c r="T94" i="1"/>
  <c r="S94" i="1"/>
  <c r="R94" i="1"/>
  <c r="Q94" i="1"/>
  <c r="P94" i="1"/>
  <c r="O94" i="1"/>
  <c r="N94" i="1"/>
  <c r="M94" i="1"/>
  <c r="T81" i="1"/>
  <c r="S81" i="1"/>
  <c r="R81" i="1"/>
  <c r="Q81" i="1"/>
  <c r="P81" i="1"/>
  <c r="O81" i="1"/>
  <c r="N81" i="1"/>
  <c r="M81" i="1"/>
  <c r="T72" i="1"/>
  <c r="S72" i="1"/>
  <c r="R72" i="1"/>
  <c r="Q72" i="1"/>
  <c r="P72" i="1"/>
  <c r="O72" i="1"/>
  <c r="N72" i="1"/>
  <c r="M72" i="1"/>
  <c r="T62" i="1"/>
  <c r="S62" i="1"/>
  <c r="R62" i="1"/>
  <c r="Q62" i="1"/>
  <c r="P62" i="1"/>
  <c r="O62" i="1"/>
  <c r="N62" i="1"/>
  <c r="M62" i="1"/>
  <c r="M52" i="1" s="1"/>
  <c r="T53" i="1"/>
  <c r="T52" i="1" s="1"/>
  <c r="S53" i="1"/>
  <c r="R53" i="1"/>
  <c r="Q53" i="1"/>
  <c r="Q52" i="1" s="1"/>
  <c r="P53" i="1"/>
  <c r="O53" i="1"/>
  <c r="N53" i="1"/>
  <c r="P52" i="1" l="1"/>
  <c r="O52" i="1"/>
  <c r="R52" i="1"/>
  <c r="S52" i="1"/>
  <c r="N52" i="1"/>
  <c r="V128" i="1"/>
  <c r="U62" i="1"/>
  <c r="U94" i="1"/>
  <c r="U101" i="1"/>
  <c r="U111" i="1"/>
  <c r="U72" i="1"/>
  <c r="U81" i="1"/>
  <c r="U53" i="1"/>
  <c r="V103" i="1"/>
  <c r="V98" i="1"/>
  <c r="V73" i="1"/>
  <c r="V118" i="1"/>
  <c r="V74" i="1"/>
  <c r="L54" i="1"/>
  <c r="V55" i="1" l="1"/>
  <c r="V85" i="1"/>
  <c r="V119" i="1"/>
  <c r="V121" i="1"/>
  <c r="V56" i="1"/>
  <c r="V86" i="1"/>
  <c r="V113" i="1"/>
  <c r="V76" i="1"/>
  <c r="V90" i="1"/>
  <c r="V54" i="1"/>
  <c r="V75" i="1"/>
  <c r="V84" i="1"/>
  <c r="V83" i="1"/>
  <c r="V63" i="1"/>
  <c r="V112" i="1"/>
  <c r="V120" i="1"/>
  <c r="V129" i="1"/>
  <c r="V57" i="1"/>
  <c r="V95" i="1"/>
  <c r="V104" i="1"/>
  <c r="V114" i="1"/>
  <c r="V122" i="1"/>
  <c r="V77" i="1"/>
  <c r="V58" i="1"/>
  <c r="V87" i="1"/>
  <c r="V96" i="1"/>
  <c r="V105" i="1"/>
  <c r="V115" i="1"/>
  <c r="V64" i="1"/>
  <c r="V130" i="1"/>
  <c r="V82" i="1"/>
  <c r="V89" i="1"/>
  <c r="V117" i="1"/>
  <c r="V59" i="1"/>
  <c r="V88" i="1"/>
  <c r="V97" i="1"/>
  <c r="V107" i="1"/>
  <c r="V116" i="1"/>
  <c r="V102" i="1"/>
  <c r="E132" i="1" l="1"/>
  <c r="E124" i="1"/>
  <c r="E100" i="1"/>
  <c r="E109" i="1"/>
  <c r="E92" i="1"/>
  <c r="E71" i="1"/>
  <c r="E61" i="1"/>
  <c r="E32" i="1" l="1"/>
  <c r="E33" i="1"/>
  <c r="E31" i="1"/>
  <c r="C79" i="1" s="1"/>
  <c r="K79" i="1" s="1"/>
  <c r="U78" i="1"/>
  <c r="U79" i="1" l="1"/>
  <c r="E48" i="1" l="1"/>
  <c r="E47" i="1"/>
  <c r="E46" i="1"/>
  <c r="E45" i="1"/>
  <c r="X51" i="1" l="1"/>
  <c r="B10" i="3"/>
  <c r="C10" i="3" s="1"/>
  <c r="B11" i="3"/>
  <c r="C11" i="3" s="1"/>
  <c r="D11" i="3" s="1"/>
  <c r="B12" i="3"/>
  <c r="C12" i="3" s="1"/>
  <c r="D12" i="3" s="1"/>
  <c r="B13" i="3"/>
  <c r="C13" i="3" s="1"/>
  <c r="D13" i="3" s="1"/>
  <c r="B14" i="3"/>
  <c r="C14" i="3" s="1"/>
  <c r="D14" i="3" s="1"/>
  <c r="B15" i="3"/>
  <c r="C15" i="3" s="1"/>
  <c r="D15" i="3" s="1"/>
  <c r="B16" i="3"/>
  <c r="C16" i="3" s="1"/>
  <c r="D16" i="3" s="1"/>
  <c r="B17" i="3"/>
  <c r="C17" i="3" s="1"/>
  <c r="D17" i="3" s="1"/>
  <c r="B18" i="3"/>
  <c r="C18" i="3" s="1"/>
  <c r="D18" i="3" s="1"/>
  <c r="B19" i="3"/>
  <c r="C19" i="3" s="1"/>
  <c r="D19" i="3" s="1"/>
  <c r="B20" i="3"/>
  <c r="C20" i="3" s="1"/>
  <c r="D20" i="3" s="1"/>
  <c r="B21" i="3"/>
  <c r="C21" i="3" s="1"/>
  <c r="D21" i="3" s="1"/>
  <c r="B22" i="3"/>
  <c r="C22" i="3" s="1"/>
  <c r="D22" i="3" s="1"/>
  <c r="B23" i="3"/>
  <c r="C23" i="3" s="1"/>
  <c r="D23" i="3" s="1"/>
  <c r="B24" i="3"/>
  <c r="C24" i="3" s="1"/>
  <c r="D24" i="3" s="1"/>
  <c r="B25" i="3"/>
  <c r="C25" i="3" s="1"/>
  <c r="D25" i="3" s="1"/>
  <c r="B26" i="3"/>
  <c r="C26" i="3" s="1"/>
  <c r="D26" i="3" s="1"/>
  <c r="B27" i="3"/>
  <c r="C27" i="3" s="1"/>
  <c r="D27" i="3" s="1"/>
  <c r="B28" i="3"/>
  <c r="C28" i="3" s="1"/>
  <c r="D28" i="3" s="1"/>
  <c r="B29" i="3"/>
  <c r="C29" i="3" s="1"/>
  <c r="B30" i="3"/>
  <c r="C30" i="3" s="1"/>
  <c r="D30" i="3" s="1"/>
  <c r="B31" i="3"/>
  <c r="C31" i="3" s="1"/>
  <c r="B33" i="3"/>
  <c r="C33" i="3" s="1"/>
  <c r="B34" i="3"/>
  <c r="C34" i="3" s="1"/>
  <c r="D34" i="3" s="1"/>
  <c r="B35" i="3"/>
  <c r="C35" i="3" s="1"/>
  <c r="B36" i="3"/>
  <c r="C36" i="3" s="1"/>
  <c r="D36" i="3" s="1"/>
  <c r="B37" i="3"/>
  <c r="C37" i="3" s="1"/>
  <c r="B38" i="3"/>
  <c r="C38" i="3" s="1"/>
  <c r="D38" i="3" s="1"/>
  <c r="B39" i="3"/>
  <c r="C39" i="3" s="1"/>
  <c r="B40" i="3"/>
  <c r="C40" i="3" s="1"/>
  <c r="D40" i="3" s="1"/>
  <c r="B41" i="3"/>
  <c r="C41" i="3" s="1"/>
  <c r="B42" i="3"/>
  <c r="C42" i="3" s="1"/>
  <c r="D42" i="3" s="1"/>
  <c r="B43" i="3"/>
  <c r="C43" i="3" s="1"/>
  <c r="B44" i="3"/>
  <c r="C44" i="3" s="1"/>
  <c r="D44" i="3" s="1"/>
  <c r="B45" i="3"/>
  <c r="C45" i="3" s="1"/>
  <c r="B46" i="3"/>
  <c r="C46" i="3" s="1"/>
  <c r="D46" i="3" s="1"/>
  <c r="B47" i="3"/>
  <c r="C47" i="3" s="1"/>
  <c r="B48" i="3"/>
  <c r="C48" i="3" s="1"/>
  <c r="D48" i="3" s="1"/>
  <c r="B49" i="3"/>
  <c r="C49" i="3" s="1"/>
  <c r="B50" i="3"/>
  <c r="C50" i="3" s="1"/>
  <c r="D50" i="3" s="1"/>
  <c r="B51" i="3"/>
  <c r="C51" i="3" s="1"/>
  <c r="B52" i="3"/>
  <c r="C52" i="3" s="1"/>
  <c r="D52" i="3" s="1"/>
  <c r="B53" i="3"/>
  <c r="C53" i="3" s="1"/>
  <c r="B54" i="3"/>
  <c r="C54" i="3" s="1"/>
  <c r="D54" i="3" s="1"/>
  <c r="B55" i="3"/>
  <c r="C55" i="3" s="1"/>
  <c r="B56" i="3"/>
  <c r="C56" i="3" s="1"/>
  <c r="D56" i="3" s="1"/>
  <c r="B57" i="3"/>
  <c r="C57" i="3" s="1"/>
  <c r="B58" i="3"/>
  <c r="C58" i="3" s="1"/>
  <c r="D58" i="3" s="1"/>
  <c r="B59" i="3"/>
  <c r="C59" i="3" s="1"/>
  <c r="B60" i="3"/>
  <c r="C60" i="3" s="1"/>
  <c r="D60" i="3" s="1"/>
  <c r="B61" i="3"/>
  <c r="C61" i="3" s="1"/>
  <c r="B62" i="3"/>
  <c r="C62" i="3" s="1"/>
  <c r="D62" i="3" s="1"/>
  <c r="B63" i="3"/>
  <c r="C63" i="3" s="1"/>
  <c r="B64" i="3"/>
  <c r="C64" i="3" s="1"/>
  <c r="D64" i="3" s="1"/>
  <c r="B65" i="3"/>
  <c r="C65" i="3" s="1"/>
  <c r="B66" i="3"/>
  <c r="C66" i="3" s="1"/>
  <c r="D66" i="3" s="1"/>
  <c r="B67" i="3"/>
  <c r="C67" i="3" s="1"/>
  <c r="B68" i="3"/>
  <c r="C68" i="3" s="1"/>
  <c r="D68" i="3" s="1"/>
  <c r="B69" i="3"/>
  <c r="C69" i="3" s="1"/>
  <c r="B70" i="3"/>
  <c r="C70" i="3" s="1"/>
  <c r="D70" i="3" s="1"/>
  <c r="B71" i="3"/>
  <c r="C71" i="3" s="1"/>
  <c r="B72" i="3"/>
  <c r="C72" i="3" s="1"/>
  <c r="D72" i="3" s="1"/>
  <c r="B73" i="3"/>
  <c r="C73" i="3" s="1"/>
  <c r="B74" i="3"/>
  <c r="C74" i="3" s="1"/>
  <c r="D74" i="3" s="1"/>
  <c r="B75" i="3"/>
  <c r="C75" i="3" s="1"/>
  <c r="B76" i="3"/>
  <c r="C76" i="3" s="1"/>
  <c r="D76" i="3" s="1"/>
  <c r="B77" i="3"/>
  <c r="C77" i="3" s="1"/>
  <c r="B78" i="3"/>
  <c r="C78" i="3" s="1"/>
  <c r="D78" i="3" s="1"/>
  <c r="B79" i="3"/>
  <c r="C79" i="3" s="1"/>
  <c r="B80" i="3"/>
  <c r="C80" i="3" s="1"/>
  <c r="D80" i="3" s="1"/>
  <c r="B81" i="3"/>
  <c r="C81" i="3" s="1"/>
  <c r="B82" i="3"/>
  <c r="C82" i="3" s="1"/>
  <c r="D82" i="3" s="1"/>
  <c r="B83" i="3"/>
  <c r="C83" i="3" s="1"/>
  <c r="B84" i="3"/>
  <c r="C84" i="3" s="1"/>
  <c r="D84" i="3" s="1"/>
  <c r="B85" i="3"/>
  <c r="C85" i="3" s="1"/>
  <c r="B86" i="3"/>
  <c r="C86" i="3" s="1"/>
  <c r="D86" i="3" s="1"/>
  <c r="B87" i="3"/>
  <c r="C87" i="3" s="1"/>
  <c r="B88" i="3"/>
  <c r="C88" i="3" s="1"/>
  <c r="D88" i="3" s="1"/>
  <c r="B89" i="3"/>
  <c r="C89" i="3" s="1"/>
  <c r="B90" i="3"/>
  <c r="C90" i="3" s="1"/>
  <c r="D90" i="3" s="1"/>
  <c r="B91" i="3"/>
  <c r="C91" i="3" s="1"/>
  <c r="B92" i="3"/>
  <c r="C92" i="3" s="1"/>
  <c r="D92" i="3" s="1"/>
  <c r="B93" i="3"/>
  <c r="C93" i="3" s="1"/>
  <c r="B94" i="3"/>
  <c r="C94" i="3" s="1"/>
  <c r="D94" i="3" s="1"/>
  <c r="B95" i="3"/>
  <c r="C95" i="3" s="1"/>
  <c r="B96" i="3"/>
  <c r="C96" i="3" s="1"/>
  <c r="D96" i="3" s="1"/>
  <c r="B97" i="3"/>
  <c r="C97" i="3" s="1"/>
  <c r="B98" i="3"/>
  <c r="C98" i="3" s="1"/>
  <c r="D98" i="3" s="1"/>
  <c r="B99" i="3"/>
  <c r="C99" i="3" s="1"/>
  <c r="B100" i="3"/>
  <c r="C100" i="3" s="1"/>
  <c r="D100" i="3" s="1"/>
  <c r="B101" i="3"/>
  <c r="C101" i="3" s="1"/>
  <c r="B102" i="3"/>
  <c r="C102" i="3" s="1"/>
  <c r="D102" i="3" s="1"/>
  <c r="B103" i="3"/>
  <c r="C103" i="3" s="1"/>
  <c r="B104" i="3"/>
  <c r="C104" i="3" s="1"/>
  <c r="D104" i="3" s="1"/>
  <c r="B105" i="3"/>
  <c r="C105" i="3" s="1"/>
  <c r="B106" i="3"/>
  <c r="C106" i="3" s="1"/>
  <c r="D106" i="3" s="1"/>
  <c r="B107" i="3"/>
  <c r="C107" i="3" s="1"/>
  <c r="B108" i="3"/>
  <c r="C108" i="3" s="1"/>
  <c r="D108" i="3" s="1"/>
  <c r="B109" i="3"/>
  <c r="C109" i="3" s="1"/>
  <c r="B110" i="3"/>
  <c r="C110" i="3" s="1"/>
  <c r="D110" i="3" s="1"/>
  <c r="B111" i="3"/>
  <c r="C111" i="3" s="1"/>
  <c r="B112" i="3"/>
  <c r="C112" i="3" s="1"/>
  <c r="D112" i="3" s="1"/>
  <c r="B113" i="3"/>
  <c r="C113" i="3" s="1"/>
  <c r="B114" i="3"/>
  <c r="C114" i="3" s="1"/>
  <c r="D114" i="3" s="1"/>
  <c r="B115" i="3"/>
  <c r="C115" i="3" s="1"/>
  <c r="B116" i="3"/>
  <c r="C116" i="3" s="1"/>
  <c r="D116" i="3" s="1"/>
  <c r="B117" i="3"/>
  <c r="C117" i="3" s="1"/>
  <c r="B118" i="3"/>
  <c r="C118" i="3" s="1"/>
  <c r="D118" i="3" s="1"/>
  <c r="B119" i="3"/>
  <c r="C119" i="3" s="1"/>
  <c r="B120" i="3"/>
  <c r="C120" i="3" s="1"/>
  <c r="D120" i="3" s="1"/>
  <c r="B121" i="3"/>
  <c r="C121" i="3" s="1"/>
  <c r="D121" i="3" s="1"/>
  <c r="B122" i="3"/>
  <c r="C122" i="3" s="1"/>
  <c r="D122" i="3" s="1"/>
  <c r="B123" i="3"/>
  <c r="C123" i="3" s="1"/>
  <c r="D123" i="3" s="1"/>
  <c r="B124" i="3"/>
  <c r="C124" i="3" s="1"/>
  <c r="D124" i="3" s="1"/>
  <c r="B125" i="3"/>
  <c r="C125" i="3" s="1"/>
  <c r="D125" i="3" s="1"/>
  <c r="B126" i="3"/>
  <c r="C126" i="3" s="1"/>
  <c r="D126" i="3" s="1"/>
  <c r="B127" i="3"/>
  <c r="C127" i="3" s="1"/>
  <c r="D127" i="3" s="1"/>
  <c r="B128" i="3"/>
  <c r="C128" i="3" s="1"/>
  <c r="D128" i="3" s="1"/>
  <c r="B129" i="3"/>
  <c r="C129" i="3" s="1"/>
  <c r="D129" i="3" s="1"/>
  <c r="B130" i="3"/>
  <c r="C130" i="3" s="1"/>
  <c r="B131" i="3"/>
  <c r="C131" i="3" s="1"/>
  <c r="B132" i="3"/>
  <c r="C132" i="3" s="1"/>
  <c r="B133" i="3"/>
  <c r="C133" i="3" s="1"/>
  <c r="B134" i="3"/>
  <c r="C134" i="3" s="1"/>
  <c r="B135" i="3"/>
  <c r="C135" i="3" s="1"/>
  <c r="B136" i="3"/>
  <c r="C136" i="3" s="1"/>
  <c r="B137" i="3"/>
  <c r="C137" i="3" s="1"/>
  <c r="B138" i="3"/>
  <c r="C138" i="3" s="1"/>
  <c r="B139" i="3"/>
  <c r="C139" i="3" s="1"/>
  <c r="B140" i="3"/>
  <c r="C140" i="3" s="1"/>
  <c r="B141" i="3"/>
  <c r="C141" i="3" s="1"/>
  <c r="B142" i="3"/>
  <c r="C142" i="3" s="1"/>
  <c r="B143" i="3"/>
  <c r="C143" i="3" s="1"/>
  <c r="B144" i="3"/>
  <c r="C144" i="3" s="1"/>
  <c r="B145" i="3"/>
  <c r="C145" i="3" s="1"/>
  <c r="B146" i="3"/>
  <c r="C146" i="3" s="1"/>
  <c r="C5" i="2"/>
  <c r="C9" i="8" l="1"/>
  <c r="E9" i="8"/>
  <c r="E118" i="3"/>
  <c r="J9" i="8"/>
  <c r="E74" i="3"/>
  <c r="E94" i="3"/>
  <c r="E54" i="3"/>
  <c r="E106" i="3"/>
  <c r="E86" i="3"/>
  <c r="E62" i="3"/>
  <c r="E42" i="3"/>
  <c r="E102" i="3"/>
  <c r="E78" i="3"/>
  <c r="E58" i="3"/>
  <c r="E38" i="3"/>
  <c r="E110" i="3"/>
  <c r="E90" i="3"/>
  <c r="E70" i="3"/>
  <c r="E46" i="3"/>
  <c r="E10" i="3"/>
  <c r="D10" i="3"/>
  <c r="E129" i="3"/>
  <c r="E127" i="3"/>
  <c r="E114" i="3"/>
  <c r="E98" i="3"/>
  <c r="E82" i="3"/>
  <c r="E66" i="3"/>
  <c r="E50" i="3"/>
  <c r="E34" i="3"/>
  <c r="U52" i="1"/>
  <c r="D139" i="3"/>
  <c r="E139" i="3"/>
  <c r="D140" i="3"/>
  <c r="E140" i="3"/>
  <c r="D130" i="3"/>
  <c r="E130" i="3"/>
  <c r="D146" i="3"/>
  <c r="E146" i="3"/>
  <c r="D137" i="3"/>
  <c r="E137" i="3"/>
  <c r="E144" i="3"/>
  <c r="D144" i="3"/>
  <c r="D132" i="3"/>
  <c r="E132" i="3"/>
  <c r="D145" i="3"/>
  <c r="E145" i="3"/>
  <c r="D143" i="3"/>
  <c r="E143" i="3"/>
  <c r="D136" i="3"/>
  <c r="E136" i="3"/>
  <c r="D142" i="3"/>
  <c r="E142" i="3"/>
  <c r="D131" i="3"/>
  <c r="E131" i="3"/>
  <c r="D138" i="3"/>
  <c r="E138" i="3"/>
  <c r="D135" i="3"/>
  <c r="E135" i="3"/>
  <c r="D134" i="3"/>
  <c r="E134" i="3"/>
  <c r="D141" i="3"/>
  <c r="E141" i="3"/>
  <c r="D133" i="3"/>
  <c r="E133" i="3"/>
  <c r="E124" i="3"/>
  <c r="E120" i="3"/>
  <c r="D115" i="3"/>
  <c r="E115" i="3"/>
  <c r="E104" i="3"/>
  <c r="D99" i="3"/>
  <c r="E99" i="3"/>
  <c r="E88" i="3"/>
  <c r="D83" i="3"/>
  <c r="E83" i="3"/>
  <c r="E72" i="3"/>
  <c r="D67" i="3"/>
  <c r="E67" i="3"/>
  <c r="E56" i="3"/>
  <c r="D51" i="3"/>
  <c r="E51" i="3"/>
  <c r="E40" i="3"/>
  <c r="D35" i="3"/>
  <c r="E35" i="3"/>
  <c r="E123" i="3"/>
  <c r="D119" i="3"/>
  <c r="E119" i="3"/>
  <c r="E108" i="3"/>
  <c r="D103" i="3"/>
  <c r="E103" i="3"/>
  <c r="E92" i="3"/>
  <c r="D87" i="3"/>
  <c r="E87" i="3"/>
  <c r="E76" i="3"/>
  <c r="D71" i="3"/>
  <c r="E71" i="3"/>
  <c r="E60" i="3"/>
  <c r="D55" i="3"/>
  <c r="E55" i="3"/>
  <c r="E44" i="3"/>
  <c r="D39" i="3"/>
  <c r="E39" i="3"/>
  <c r="E28" i="3"/>
  <c r="E24" i="3"/>
  <c r="D109" i="3"/>
  <c r="E109" i="3"/>
  <c r="D77" i="3"/>
  <c r="E77" i="3"/>
  <c r="D45" i="3"/>
  <c r="E45" i="3"/>
  <c r="D113" i="3"/>
  <c r="E113" i="3"/>
  <c r="D93" i="3"/>
  <c r="E93" i="3"/>
  <c r="D61" i="3"/>
  <c r="E61" i="3"/>
  <c r="E126" i="3"/>
  <c r="D97" i="3"/>
  <c r="E97" i="3"/>
  <c r="D81" i="3"/>
  <c r="E81" i="3"/>
  <c r="D65" i="3"/>
  <c r="E65" i="3"/>
  <c r="D49" i="3"/>
  <c r="E49" i="3"/>
  <c r="D33" i="3"/>
  <c r="E33" i="3"/>
  <c r="E122" i="3"/>
  <c r="E112" i="3"/>
  <c r="D107" i="3"/>
  <c r="E107" i="3"/>
  <c r="E96" i="3"/>
  <c r="D91" i="3"/>
  <c r="E91" i="3"/>
  <c r="E80" i="3"/>
  <c r="D75" i="3"/>
  <c r="E75" i="3"/>
  <c r="E64" i="3"/>
  <c r="D59" i="3"/>
  <c r="E59" i="3"/>
  <c r="E48" i="3"/>
  <c r="D43" i="3"/>
  <c r="E43" i="3"/>
  <c r="D29" i="3"/>
  <c r="E29" i="3"/>
  <c r="D101" i="3"/>
  <c r="E101" i="3"/>
  <c r="D85" i="3"/>
  <c r="E85" i="3"/>
  <c r="E128" i="3"/>
  <c r="D117" i="3"/>
  <c r="E117" i="3"/>
  <c r="D69" i="3"/>
  <c r="E69" i="3"/>
  <c r="D53" i="3"/>
  <c r="E53" i="3"/>
  <c r="D37" i="3"/>
  <c r="E37" i="3"/>
  <c r="E125" i="3"/>
  <c r="E121" i="3"/>
  <c r="E116" i="3"/>
  <c r="D111" i="3"/>
  <c r="E111" i="3"/>
  <c r="E100" i="3"/>
  <c r="D95" i="3"/>
  <c r="E95" i="3"/>
  <c r="E84" i="3"/>
  <c r="D79" i="3"/>
  <c r="E79" i="3"/>
  <c r="E68" i="3"/>
  <c r="D63" i="3"/>
  <c r="E63" i="3"/>
  <c r="E52" i="3"/>
  <c r="D47" i="3"/>
  <c r="E47" i="3"/>
  <c r="E36" i="3"/>
  <c r="D31" i="3"/>
  <c r="E31" i="3"/>
  <c r="E26" i="3"/>
  <c r="E22" i="3"/>
  <c r="E20" i="3"/>
  <c r="E18" i="3"/>
  <c r="E16" i="3"/>
  <c r="E14" i="3"/>
  <c r="E12" i="3"/>
  <c r="D105" i="3"/>
  <c r="E105" i="3"/>
  <c r="D89" i="3"/>
  <c r="E89" i="3"/>
  <c r="D73" i="3"/>
  <c r="E73" i="3"/>
  <c r="D57" i="3"/>
  <c r="E57" i="3"/>
  <c r="D41" i="3"/>
  <c r="E41" i="3"/>
  <c r="E30" i="3"/>
  <c r="E27" i="3"/>
  <c r="E25" i="3"/>
  <c r="E23" i="3"/>
  <c r="E21" i="3"/>
  <c r="E19" i="3"/>
  <c r="E17" i="3"/>
  <c r="E15" i="3"/>
  <c r="E13" i="3"/>
  <c r="E11" i="3"/>
  <c r="J24" i="3" l="1"/>
  <c r="N24" i="3"/>
  <c r="R24" i="3"/>
  <c r="Q24" i="3"/>
  <c r="K24" i="3"/>
  <c r="O24" i="3"/>
  <c r="S24" i="3"/>
  <c r="U24" i="3"/>
  <c r="L24" i="3"/>
  <c r="P24" i="3"/>
  <c r="T24" i="3"/>
  <c r="I4" i="3" s="1"/>
  <c r="M24" i="3"/>
  <c r="Q23" i="3"/>
  <c r="J23" i="3"/>
  <c r="K23" i="3"/>
  <c r="L23" i="3"/>
  <c r="T23" i="3"/>
  <c r="K4" i="3" s="1"/>
  <c r="U23" i="3"/>
  <c r="R23" i="3"/>
  <c r="S23" i="3"/>
  <c r="M23" i="3"/>
  <c r="N23" i="3"/>
  <c r="O23" i="3"/>
  <c r="P23" i="3"/>
  <c r="D10" i="8"/>
  <c r="D70" i="1" s="1"/>
  <c r="T12" i="3"/>
  <c r="M22" i="3"/>
  <c r="S18" i="3"/>
  <c r="K22" i="3"/>
  <c r="S22" i="3"/>
  <c r="L22" i="3"/>
  <c r="Q22" i="3"/>
  <c r="U22" i="3"/>
  <c r="N22" i="3"/>
  <c r="O22" i="3"/>
  <c r="P22" i="3"/>
  <c r="T22" i="3"/>
  <c r="M4" i="3" s="1"/>
  <c r="J22" i="3"/>
  <c r="R22" i="3"/>
  <c r="R16" i="3"/>
  <c r="N19" i="3"/>
  <c r="J14" i="3"/>
  <c r="K18" i="3"/>
  <c r="S12" i="3"/>
  <c r="L21" i="3"/>
  <c r="T15" i="3"/>
  <c r="O10" i="3"/>
  <c r="K17" i="3"/>
  <c r="S11" i="3"/>
  <c r="N18" i="3"/>
  <c r="J13" i="3"/>
  <c r="M20" i="3"/>
  <c r="U14" i="3"/>
  <c r="P21" i="3"/>
  <c r="L16" i="3"/>
  <c r="S10" i="3"/>
  <c r="O17" i="3"/>
  <c r="K12" i="3"/>
  <c r="R18" i="3"/>
  <c r="N13" i="3"/>
  <c r="P20" i="3"/>
  <c r="L15" i="3"/>
  <c r="S21" i="3"/>
  <c r="O16" i="3"/>
  <c r="K11" i="3"/>
  <c r="R17" i="3"/>
  <c r="N12" i="3"/>
  <c r="Q19" i="3"/>
  <c r="M14" i="3"/>
  <c r="T20" i="3"/>
  <c r="P15" i="3"/>
  <c r="K10" i="3"/>
  <c r="S16" i="3"/>
  <c r="O11" i="3"/>
  <c r="J18" i="3"/>
  <c r="R12" i="3"/>
  <c r="T19" i="3"/>
  <c r="P14" i="3"/>
  <c r="K21" i="3"/>
  <c r="S15" i="3"/>
  <c r="N10" i="3"/>
  <c r="J17" i="3"/>
  <c r="R11" i="3"/>
  <c r="U18" i="3"/>
  <c r="Q13" i="3"/>
  <c r="L20" i="3"/>
  <c r="T14" i="3"/>
  <c r="O21" i="3"/>
  <c r="K16" i="3"/>
  <c r="R10" i="3"/>
  <c r="N17" i="3"/>
  <c r="J12" i="3"/>
  <c r="L19" i="3"/>
  <c r="T13" i="3"/>
  <c r="O20" i="3"/>
  <c r="K15" i="3"/>
  <c r="R21" i="3"/>
  <c r="N16" i="3"/>
  <c r="J11" i="3"/>
  <c r="M18" i="3"/>
  <c r="U12" i="3"/>
  <c r="P19" i="3"/>
  <c r="L14" i="3"/>
  <c r="S20" i="3"/>
  <c r="O15" i="3"/>
  <c r="J10" i="3"/>
  <c r="N11" i="3"/>
  <c r="P18" i="3"/>
  <c r="L13" i="3"/>
  <c r="S19" i="3"/>
  <c r="O14" i="3"/>
  <c r="J21" i="3"/>
  <c r="R15" i="3"/>
  <c r="U10" i="3"/>
  <c r="Q17" i="3"/>
  <c r="M12" i="3"/>
  <c r="T18" i="3"/>
  <c r="P13" i="3"/>
  <c r="K20" i="3"/>
  <c r="S14" i="3"/>
  <c r="N21" i="3"/>
  <c r="J16" i="3"/>
  <c r="Q10" i="3"/>
  <c r="T17" i="3"/>
  <c r="P12" i="3"/>
  <c r="K19" i="3"/>
  <c r="S13" i="3"/>
  <c r="N20" i="3"/>
  <c r="J15" i="3"/>
  <c r="M10" i="3"/>
  <c r="U16" i="3"/>
  <c r="Q11" i="3"/>
  <c r="L18" i="3"/>
  <c r="M21" i="3"/>
  <c r="Q12" i="3"/>
  <c r="Q14" i="3"/>
  <c r="Q16" i="3"/>
  <c r="Q18" i="3"/>
  <c r="Q20" i="3"/>
  <c r="M19" i="3"/>
  <c r="M17" i="3"/>
  <c r="M13" i="3"/>
  <c r="M15" i="3"/>
  <c r="M11" i="3"/>
  <c r="U11" i="3"/>
  <c r="U13" i="3"/>
  <c r="U15" i="3"/>
  <c r="U17" i="3"/>
  <c r="U19" i="3"/>
  <c r="U21" i="3"/>
  <c r="O19" i="3"/>
  <c r="K14" i="3"/>
  <c r="R20" i="3"/>
  <c r="N15" i="3"/>
  <c r="P10" i="3"/>
  <c r="L17" i="3"/>
  <c r="T11" i="3"/>
  <c r="O18" i="3"/>
  <c r="K13" i="3"/>
  <c r="R19" i="3"/>
  <c r="N14" i="3"/>
  <c r="Q21" i="3"/>
  <c r="M16" i="3"/>
  <c r="T10" i="3"/>
  <c r="P17" i="3"/>
  <c r="L12" i="3"/>
  <c r="O13" i="3"/>
  <c r="J20" i="3"/>
  <c r="R14" i="3"/>
  <c r="T21" i="3"/>
  <c r="P16" i="3"/>
  <c r="L11" i="3"/>
  <c r="S17" i="3"/>
  <c r="O12" i="3"/>
  <c r="J19" i="3"/>
  <c r="R13" i="3"/>
  <c r="U20" i="3"/>
  <c r="Q15" i="3"/>
  <c r="L10" i="3"/>
  <c r="T16" i="3"/>
  <c r="P11" i="3"/>
  <c r="N4" i="3" l="1"/>
  <c r="J4" i="3"/>
  <c r="L4" i="3"/>
  <c r="V24" i="3"/>
  <c r="W24" i="3"/>
  <c r="X24" i="3" s="1"/>
  <c r="X25" i="3" s="1"/>
  <c r="V23" i="3"/>
  <c r="W23" i="3"/>
  <c r="D108" i="1"/>
  <c r="D109" i="1" s="1"/>
  <c r="D60" i="1"/>
  <c r="L60" i="1" s="1"/>
  <c r="V60" i="1" s="1"/>
  <c r="D131" i="1"/>
  <c r="D99" i="1"/>
  <c r="L99" i="1" s="1"/>
  <c r="V99" i="1" s="1"/>
  <c r="D123" i="1"/>
  <c r="L123" i="1" s="1"/>
  <c r="V123" i="1" s="1"/>
  <c r="V22" i="3"/>
  <c r="W22" i="3"/>
  <c r="V14" i="3"/>
  <c r="V12" i="3"/>
  <c r="W12" i="3"/>
  <c r="V11" i="3"/>
  <c r="W11" i="3"/>
  <c r="V18" i="3"/>
  <c r="W18" i="3"/>
  <c r="V16" i="3"/>
  <c r="W16" i="3"/>
  <c r="V10" i="3"/>
  <c r="W10" i="3"/>
  <c r="V17" i="3"/>
  <c r="W17" i="3"/>
  <c r="V20" i="3"/>
  <c r="W20" i="3"/>
  <c r="V15" i="3"/>
  <c r="W15" i="3"/>
  <c r="V19" i="3"/>
  <c r="W19" i="3"/>
  <c r="V21" i="3"/>
  <c r="W21" i="3"/>
  <c r="W14" i="3"/>
  <c r="V13" i="3"/>
  <c r="W13" i="3"/>
  <c r="Y25" i="3" l="1"/>
  <c r="X26" i="3"/>
  <c r="L108" i="1"/>
  <c r="V108" i="1" s="1"/>
  <c r="D69" i="1"/>
  <c r="L131" i="1"/>
  <c r="V131" i="1" s="1"/>
  <c r="L91" i="1"/>
  <c r="V91" i="1" s="1"/>
  <c r="X23" i="3"/>
  <c r="X22" i="3"/>
  <c r="X14" i="3"/>
  <c r="C124" i="1"/>
  <c r="K124" i="1" s="1"/>
  <c r="C132" i="1"/>
  <c r="K132" i="1" s="1"/>
  <c r="C61" i="1"/>
  <c r="K61" i="1" s="1"/>
  <c r="C109" i="1"/>
  <c r="K109" i="1" s="1"/>
  <c r="C92" i="1"/>
  <c r="K92" i="1" s="1"/>
  <c r="C100" i="1"/>
  <c r="K100" i="1" s="1"/>
  <c r="C71" i="1"/>
  <c r="K71" i="1" s="1"/>
  <c r="X16" i="3"/>
  <c r="X20" i="3"/>
  <c r="X18" i="3"/>
  <c r="X17" i="3"/>
  <c r="X11" i="3"/>
  <c r="X21" i="3"/>
  <c r="X15" i="3"/>
  <c r="X13" i="3"/>
  <c r="X19" i="3"/>
  <c r="X10" i="3"/>
  <c r="X12" i="3"/>
  <c r="X27" i="3" l="1"/>
  <c r="K9" i="8" s="1"/>
  <c r="Y26" i="3"/>
  <c r="Y24" i="3"/>
  <c r="Y23" i="3"/>
  <c r="L69" i="1"/>
  <c r="V69" i="1" s="1"/>
  <c r="L70" i="1"/>
  <c r="V70" i="1" s="1"/>
  <c r="D61" i="1"/>
  <c r="D132" i="1"/>
  <c r="D126" i="1" s="1"/>
  <c r="Y15" i="3"/>
  <c r="Y22" i="3"/>
  <c r="Y20" i="3"/>
  <c r="Y19" i="3"/>
  <c r="D124" i="1"/>
  <c r="D100" i="1"/>
  <c r="D92" i="1"/>
  <c r="Y13" i="3"/>
  <c r="Y21" i="3"/>
  <c r="Y11" i="3"/>
  <c r="Y17" i="3"/>
  <c r="Y16" i="3"/>
  <c r="Y12" i="3"/>
  <c r="Y18" i="3"/>
  <c r="Y14" i="3"/>
  <c r="X28" i="3" l="1"/>
  <c r="Y27" i="3"/>
  <c r="D71" i="1"/>
  <c r="L71" i="1" s="1"/>
  <c r="V71" i="1" s="1"/>
  <c r="K8" i="8"/>
  <c r="K10" i="8" s="1"/>
  <c r="D78" i="1" s="1"/>
  <c r="L78" i="1" s="1"/>
  <c r="V78" i="1" s="1"/>
  <c r="L132" i="1"/>
  <c r="V132" i="1" s="1"/>
  <c r="L126" i="1"/>
  <c r="V126" i="1" s="1"/>
  <c r="L92" i="1"/>
  <c r="V92" i="1" s="1"/>
  <c r="D93" i="1"/>
  <c r="L93" i="1" s="1"/>
  <c r="V93" i="1" s="1"/>
  <c r="L61" i="1"/>
  <c r="V61" i="1" s="1"/>
  <c r="D53" i="1"/>
  <c r="L100" i="1"/>
  <c r="V100" i="1" s="1"/>
  <c r="D94" i="1"/>
  <c r="L109" i="1"/>
  <c r="V109" i="1" s="1"/>
  <c r="D110" i="1"/>
  <c r="L110" i="1" s="1"/>
  <c r="V110" i="1" s="1"/>
  <c r="L124" i="1"/>
  <c r="V124" i="1" s="1"/>
  <c r="D125" i="1"/>
  <c r="L125" i="1" s="1"/>
  <c r="V125" i="1" s="1"/>
  <c r="X29" i="3" l="1"/>
  <c r="Y28" i="3"/>
  <c r="D62" i="1"/>
  <c r="L62" i="1" s="1"/>
  <c r="V62" i="1" s="1"/>
  <c r="D79" i="1"/>
  <c r="D80" i="1" s="1"/>
  <c r="L53" i="1"/>
  <c r="V53" i="1" s="1"/>
  <c r="L94" i="1"/>
  <c r="V94" i="1" s="1"/>
  <c r="D81" i="1"/>
  <c r="D111" i="1"/>
  <c r="L111" i="1" s="1"/>
  <c r="V111" i="1" s="1"/>
  <c r="D101" i="1"/>
  <c r="L101" i="1" s="1"/>
  <c r="V101" i="1" s="1"/>
  <c r="L80" i="1" l="1"/>
  <c r="V80" i="1" s="1"/>
  <c r="X30" i="3"/>
  <c r="Y29" i="3"/>
  <c r="D134" i="1"/>
  <c r="D133" i="1" s="1"/>
  <c r="E79" i="1"/>
  <c r="L79" i="1"/>
  <c r="V79" i="1" s="1"/>
  <c r="L81" i="1"/>
  <c r="V81" i="1" s="1"/>
  <c r="D72" i="1"/>
  <c r="D136" i="1" l="1"/>
  <c r="D135" i="1"/>
  <c r="D52" i="1"/>
  <c r="X31" i="3"/>
  <c r="Y30" i="3"/>
  <c r="L52" i="1"/>
  <c r="L134" i="1"/>
  <c r="V134" i="1" s="1"/>
  <c r="L72" i="1"/>
  <c r="V72" i="1" s="1"/>
  <c r="X32" i="3" l="1"/>
  <c r="Y31" i="3"/>
  <c r="D139" i="1"/>
  <c r="D142" i="1" s="1"/>
  <c r="L133" i="1"/>
  <c r="V133" i="1" s="1"/>
  <c r="X33" i="3" l="1"/>
  <c r="Y33" i="3" s="1"/>
  <c r="Y32" i="3"/>
  <c r="V52" i="1"/>
  <c r="L51" i="1" l="1"/>
  <c r="V5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<sst xmlns="http://schemas.openxmlformats.org/spreadsheetml/2006/main" count="451" uniqueCount="359">
  <si>
    <t>Project Cost Worksheet (PCW)- Horizontal Projects</t>
  </si>
  <si>
    <t>Worksheet Version:</t>
  </si>
  <si>
    <t>1Q24</t>
  </si>
  <si>
    <t>FOR MAJOR PROJECTS WITH NUMEROUS FUNDING SOURCES ONLY (See below.)</t>
  </si>
  <si>
    <t>SECTION 1 - PROJECT INFORMATION</t>
  </si>
  <si>
    <t>Project Name:</t>
  </si>
  <si>
    <t>75 character maximum</t>
  </si>
  <si>
    <t>Project Location:</t>
  </si>
  <si>
    <t>Instructions:</t>
  </si>
  <si>
    <t>Enter Agency specific instructions here about how to use this PCW.  
Leave blank if not applicable.</t>
  </si>
  <si>
    <t>Project Scope:</t>
  </si>
  <si>
    <t>Project Contact:</t>
  </si>
  <si>
    <t>Year of Form:</t>
  </si>
  <si>
    <r>
      <t xml:space="preserve">SECTION 2 - COST ESTIMATE INFORMATION - </t>
    </r>
    <r>
      <rPr>
        <sz val="12"/>
        <color theme="1"/>
        <rFont val="Calibri"/>
        <family val="2"/>
        <scheme val="minor"/>
      </rPr>
      <t xml:space="preserve">What is the source of the cost data? </t>
    </r>
    <r>
      <rPr>
        <i/>
        <sz val="12"/>
        <color theme="1"/>
        <rFont val="Calibri"/>
        <family val="2"/>
        <scheme val="minor"/>
      </rPr>
      <t>(e.g. conceptual estimate, bids, etc.)</t>
    </r>
  </si>
  <si>
    <t>Cost Estimate Data Source:</t>
  </si>
  <si>
    <t>Cost Data Year:</t>
  </si>
  <si>
    <t>SECTION 3 - TIMELINE / INFLATION &amp; ESCALATION / RISK</t>
  </si>
  <si>
    <t xml:space="preserve">TIMELINE </t>
  </si>
  <si>
    <r>
      <rPr>
        <b/>
        <sz val="12"/>
        <color rgb="FFFF0000"/>
        <rFont val="Calibri"/>
        <family val="2"/>
        <scheme val="minor"/>
      </rPr>
      <t>Enter</t>
    </r>
    <r>
      <rPr>
        <b/>
        <sz val="12"/>
        <color theme="1"/>
        <rFont val="Calibri"/>
        <family val="2"/>
        <scheme val="minor"/>
      </rPr>
      <t xml:space="preserve"> YEAR (YYYY)</t>
    </r>
  </si>
  <si>
    <t>No. of Yrs</t>
  </si>
  <si>
    <r>
      <t xml:space="preserve">Year Land </t>
    </r>
    <r>
      <rPr>
        <b/>
        <u/>
        <sz val="11"/>
        <color theme="1"/>
        <rFont val="Calibri"/>
        <family val="2"/>
        <scheme val="minor"/>
      </rPr>
      <t>To Be</t>
    </r>
    <r>
      <rPr>
        <b/>
        <sz val="11"/>
        <color theme="1"/>
        <rFont val="Calibri"/>
        <family val="2"/>
        <scheme val="minor"/>
      </rPr>
      <t xml:space="preserve"> Acquired:</t>
    </r>
  </si>
  <si>
    <t>Year Design Starts:</t>
  </si>
  <si>
    <t>Year Construction Starts:</t>
  </si>
  <si>
    <t>INFLATION &amp; ESCALATION</t>
  </si>
  <si>
    <t>AUTOMATIC PROJECT</t>
  </si>
  <si>
    <t>(Auto populates based on years)</t>
  </si>
  <si>
    <t>MANAGEMENT APPLICABLE?</t>
  </si>
  <si>
    <t>YES</t>
  </si>
  <si>
    <t xml:space="preserve">      Default is "YES"</t>
  </si>
  <si>
    <t>If "NO," Briefly explain below.</t>
  </si>
  <si>
    <t>RISK / CONTINGENCY ADJUSTMENTS</t>
  </si>
  <si>
    <r>
      <rPr>
        <b/>
        <sz val="12"/>
        <color rgb="FFFF0000"/>
        <rFont val="Calibri"/>
        <family val="2"/>
        <scheme val="minor"/>
      </rPr>
      <t>Select</t>
    </r>
    <r>
      <rPr>
        <b/>
        <sz val="12"/>
        <color theme="1"/>
        <rFont val="Calibri"/>
        <family val="2"/>
        <scheme val="minor"/>
      </rPr>
      <t xml:space="preserve"> AVERAGE (AVG) or HIGH RISK</t>
    </r>
  </si>
  <si>
    <t>%</t>
  </si>
  <si>
    <t>ART APPLICABLE?</t>
  </si>
  <si>
    <t>Land / Right of Way:</t>
  </si>
  <si>
    <t>AVG</t>
  </si>
  <si>
    <t>Design:</t>
  </si>
  <si>
    <t>Construction:</t>
  </si>
  <si>
    <t>Construction-Related:</t>
  </si>
  <si>
    <t>Project-Level:</t>
  </si>
  <si>
    <t>FUNDING NEEDS</t>
  </si>
  <si>
    <t>FUNDING SOURCES</t>
  </si>
  <si>
    <r>
      <t xml:space="preserve">SECTION 4 - PROJECT BUDGET - </t>
    </r>
    <r>
      <rPr>
        <sz val="12"/>
        <color theme="1"/>
        <rFont val="Calibri"/>
        <family val="2"/>
        <scheme val="minor"/>
      </rPr>
      <t>For projects early in their life cycle, estimating at the general-level is appropriate.  Provide detail if available.</t>
    </r>
  </si>
  <si>
    <t>FOR MAJOR PROJECTS WITH NUMEROUS FUNDING SOURCES ONLY</t>
  </si>
  <si>
    <t>TOTAL PROJECT COST</t>
  </si>
  <si>
    <t>Funding Source 5</t>
  </si>
  <si>
    <t>Funding Source 6</t>
  </si>
  <si>
    <t>Funding Source 7</t>
  </si>
  <si>
    <t>Funding Source 8</t>
  </si>
  <si>
    <t>Previously Funded</t>
  </si>
  <si>
    <t>Remaining to be Funded</t>
  </si>
  <si>
    <t>Overall Previous Funding Cross Check</t>
  </si>
  <si>
    <t>(Enter Existing Funding By Source Here)</t>
  </si>
  <si>
    <t>Project Budget Subtotal</t>
  </si>
  <si>
    <t>Rounded to $100</t>
  </si>
  <si>
    <t>TOTAL</t>
  </si>
  <si>
    <t xml:space="preserve">01 - Project Level </t>
  </si>
  <si>
    <t>Project Level - General</t>
  </si>
  <si>
    <t>Communications/Outreach</t>
  </si>
  <si>
    <t>Legal</t>
  </si>
  <si>
    <t>Insurance</t>
  </si>
  <si>
    <t>Signage</t>
  </si>
  <si>
    <t>Other</t>
  </si>
  <si>
    <t>Design &amp; Construction Inflation</t>
  </si>
  <si>
    <t xml:space="preserve">02 - Project Management </t>
  </si>
  <si>
    <t>City Project Management performed by Consultant</t>
  </si>
  <si>
    <t>Program/Project Management</t>
  </si>
  <si>
    <t>Administration/ Other</t>
  </si>
  <si>
    <t>Project Management-General</t>
  </si>
  <si>
    <t>CCD Staff Charging</t>
  </si>
  <si>
    <t>PM Staff Augmentation</t>
  </si>
  <si>
    <t>CM Staff Augmentation</t>
  </si>
  <si>
    <t>Auto Calculated Project Management-General</t>
  </si>
  <si>
    <t>Sub sections 04-07 * Construction Contingency %</t>
  </si>
  <si>
    <t>03 - Land Acquisition / Right of Way</t>
  </si>
  <si>
    <t>Land/Right of Way-General</t>
  </si>
  <si>
    <t>Land / ROW Acquisition</t>
  </si>
  <si>
    <t>Relocation</t>
  </si>
  <si>
    <t>Property Management</t>
  </si>
  <si>
    <t>Real Estate Inflation</t>
  </si>
  <si>
    <t>Land/Right of Way Contingency</t>
  </si>
  <si>
    <t>04 - Design</t>
  </si>
  <si>
    <t>Design-General</t>
  </si>
  <si>
    <t>Conceptual</t>
  </si>
  <si>
    <t>Preliminary</t>
  </si>
  <si>
    <t>Final</t>
  </si>
  <si>
    <t>Services During Construction</t>
  </si>
  <si>
    <t>Studies</t>
  </si>
  <si>
    <t>Survey</t>
  </si>
  <si>
    <t>Geotechnical</t>
  </si>
  <si>
    <t>Design Contingency</t>
  </si>
  <si>
    <t>05 - Environmental</t>
  </si>
  <si>
    <t>Environmental-General</t>
  </si>
  <si>
    <t>Remediation</t>
  </si>
  <si>
    <t>06 - Construction</t>
  </si>
  <si>
    <t>Construction-General</t>
  </si>
  <si>
    <t>Pre-Construction</t>
  </si>
  <si>
    <t>Staff / General Conditions</t>
  </si>
  <si>
    <t>Construction</t>
  </si>
  <si>
    <t>Textura Fees (if applicable)</t>
  </si>
  <si>
    <t>Construction Contingency</t>
  </si>
  <si>
    <t>07 - Construction-Related</t>
  </si>
  <si>
    <t>Construction-Related-General</t>
  </si>
  <si>
    <t>Permits/Fees</t>
  </si>
  <si>
    <t>Utilities</t>
  </si>
  <si>
    <t>Construction Survey</t>
  </si>
  <si>
    <t>Waste Disposal (DADS)</t>
  </si>
  <si>
    <t>Materials Testing / Inspections</t>
  </si>
  <si>
    <t>Commissioning</t>
  </si>
  <si>
    <t>Demolition</t>
  </si>
  <si>
    <t>Construction Administration</t>
  </si>
  <si>
    <t>Water Quality</t>
  </si>
  <si>
    <t>Construction-Related Contingency</t>
  </si>
  <si>
    <t>08 - Furniture, Fixtures &amp; Equipment (FF&amp;E)</t>
  </si>
  <si>
    <t>FF&amp;E-General</t>
  </si>
  <si>
    <t>FF&amp;E</t>
  </si>
  <si>
    <t>Technology</t>
  </si>
  <si>
    <t>09 - Public Art</t>
  </si>
  <si>
    <t>(Sections 01-02, 04-08, 00 &gt; $1M; 1% of Sections 01, 05-07, 00)</t>
  </si>
  <si>
    <t>00 - Contingency</t>
  </si>
  <si>
    <t>(Subsections 01-02, 05-08 * Contingency %)</t>
  </si>
  <si>
    <t>Total Project Funding Without Contingency</t>
  </si>
  <si>
    <t>Total Contingency Included</t>
  </si>
  <si>
    <t>Manual Adjustment for Contingency</t>
  </si>
  <si>
    <r>
      <t xml:space="preserve">REQUIRED FUNDING </t>
    </r>
    <r>
      <rPr>
        <i/>
        <sz val="11"/>
        <color theme="1"/>
        <rFont val="Calibri"/>
        <family val="2"/>
        <scheme val="minor"/>
      </rPr>
      <t>(Total Cost Worksheet Value)</t>
    </r>
  </si>
  <si>
    <t>EXISTING FUNDING</t>
  </si>
  <si>
    <t>FUNDING DEFICIT</t>
  </si>
  <si>
    <t>* Send feedback on the Project Cost Worksheet to:  CapitalPlanningandProgramming@denvergov.org</t>
  </si>
  <si>
    <t>Enter Quarter of Data:</t>
  </si>
  <si>
    <t>Q1</t>
  </si>
  <si>
    <t>&lt;--- ALWAYS MAKE SURE THESE ARE SET UP TO WHAT YOU WANT</t>
  </si>
  <si>
    <t>Enter Year of Data:</t>
  </si>
  <si>
    <t>Form Year:</t>
  </si>
  <si>
    <t>&lt;- Autocalculates based on your entry, used to drive calculations on inflation source pages.</t>
  </si>
  <si>
    <t>Real Estate Acquision Escalation</t>
  </si>
  <si>
    <t>Source:  A bit lower than long run average annual growth rate, to account for slower fed interest rate cuts</t>
  </si>
  <si>
    <t>Cost Escalation Rate</t>
  </si>
  <si>
    <t>Design Cost Escalation</t>
  </si>
  <si>
    <t>&lt;-- ALWAYS MAKE SURE THIS IS SET TO WHAT YOU WANT, THIS IS QUARTERLY ESCALATION RATE</t>
  </si>
  <si>
    <t>Construction Cost Escalation</t>
  </si>
  <si>
    <t>Cost Inflation Rate</t>
  </si>
  <si>
    <t>Reasoning:  a bit higher than vertical and parks due to heavy reliance on oil based and concrete based products, which have seen recent short-term increases.</t>
  </si>
  <si>
    <t>Notes to Self:</t>
  </si>
  <si>
    <t>Year of PCW Form:</t>
  </si>
  <si>
    <t>&lt;--- Always make sure that this is accurate</t>
  </si>
  <si>
    <t>Year of Cost Data:</t>
  </si>
  <si>
    <t>Latest Cost Index Year:</t>
  </si>
  <si>
    <t xml:space="preserve">CONSTRUCTION </t>
  </si>
  <si>
    <t>DESIGN</t>
  </si>
  <si>
    <t>REAL ESTATE</t>
  </si>
  <si>
    <t>Construction Inflation:</t>
  </si>
  <si>
    <t>Design Inflation:</t>
  </si>
  <si>
    <t>Real Estate Inflation:</t>
  </si>
  <si>
    <t>RISK - CONTINGENCY PERCENTAGES</t>
  </si>
  <si>
    <t>DESCRIPTION</t>
  </si>
  <si>
    <t>LAND</t>
  </si>
  <si>
    <t>CONSTRUCT</t>
  </si>
  <si>
    <t>CONSTRUCT-RELATED</t>
  </si>
  <si>
    <t>PROJECT</t>
  </si>
  <si>
    <t>HIGH</t>
  </si>
  <si>
    <t>PUBLIC ART</t>
  </si>
  <si>
    <t>NO</t>
  </si>
  <si>
    <t xml:space="preserve">Case-Schiller Denver Home Price Index </t>
  </si>
  <si>
    <t>Nov. 2021 Index (latest)</t>
  </si>
  <si>
    <t>Nov. 2020 Index</t>
  </si>
  <si>
    <t>Nov. 2019 Index</t>
  </si>
  <si>
    <t>Index Value</t>
  </si>
  <si>
    <t>Y/Y Increase</t>
  </si>
  <si>
    <t>Case-Shiller Denver Index</t>
  </si>
  <si>
    <t>Updates: published on the last Tuesday of every month with a 2 month lag.</t>
  </si>
  <si>
    <t>Published:</t>
  </si>
  <si>
    <t>Updated Date</t>
  </si>
  <si>
    <t>Website Source:</t>
  </si>
  <si>
    <t>https://fred.stlouisfed.org/series/DNXRSA</t>
  </si>
  <si>
    <t>&lt;-- copy and past this link into a web browser, then scroll over the graph and record values for needed months</t>
  </si>
  <si>
    <t>Index Values</t>
  </si>
  <si>
    <t xml:space="preserve">Effective date </t>
  </si>
  <si>
    <t>Month</t>
  </si>
  <si>
    <t>Year</t>
  </si>
  <si>
    <t>S&amp;P CoreLogic Case-Shiller Denver Home Price NSA Index</t>
  </si>
  <si>
    <t>Sum</t>
  </si>
  <si>
    <t>Data Points</t>
  </si>
  <si>
    <t>Average</t>
  </si>
  <si>
    <t>Year over Year Growth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</si>
  <si>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</si>
  <si>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</si>
  <si>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</si>
  <si>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</si>
  <si>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</si>
  <si>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</si>
  <si>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</si>
  <si>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</si>
  <si>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</si>
  <si>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</si>
  <si>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</si>
  <si>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</si>
  <si>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</si>
  <si>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</si>
  <si>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</si>
  <si>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</si>
  <si>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</si>
  <si>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</si>
  <si>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</si>
  <si>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</si>
  <si>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</si>
  <si>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</si>
  <si>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</si>
  <si>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</si>
  <si>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</si>
  <si>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^^^^^ Add rows above this line ^^^^^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</si>
  <si>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</si>
  <si>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</si>
  <si>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</si>
  <si>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</si>
  <si>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</si>
  <si>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</si>
  <si>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</si>
  <si>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</si>
  <si>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</si>
  <si>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</si>
  <si>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</si>
  <si>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</si>
  <si>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</si>
  <si>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</si>
  <si>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</si>
  <si>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</si>
  <si>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</si>
  <si>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</si>
  <si>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</si>
  <si>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</si>
  <si>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</si>
  <si>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</si>
  <si>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</si>
  <si>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</si>
  <si>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</si>
  <si>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</si>
  <si>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</si>
  <si>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</si>
  <si>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</si>
  <si>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</si>
  <si>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</si>
  <si>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</si>
  <si>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</si>
  <si>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</si>
  <si>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</si>
  <si>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</si>
  <si>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</si>
  <si>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</si>
  <si>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</si>
  <si>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</si>
  <si>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</si>
  <si>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</si>
  <si>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</si>
  <si>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</si>
  <si>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</si>
  <si>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</si>
  <si>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</si>
  <si>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</si>
  <si>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</si>
  <si>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</si>
  <si>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</si>
  <si>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</si>
  <si>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</si>
  <si>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</si>
  <si>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</si>
  <si>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</si>
  <si>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</si>
  <si>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</si>
  <si>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</si>
  <si>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</si>
  <si>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</si>
  <si>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</si>
  <si>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</si>
  <si>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</si>
  <si>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</si>
  <si>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</si>
  <si>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</si>
  <si>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</si>
  <si>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</si>
  <si>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</si>
  <si>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</si>
  <si>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</si>
  <si>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</si>
  <si>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</si>
  <si>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</si>
  <si>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</si>
  <si>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</si>
  <si>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</si>
  <si>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</si>
  <si>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</si>
  <si>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</si>
  <si>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</si>
  <si>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</si>
  <si>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</si>
  <si>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</si>
  <si>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</si>
  <si>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</si>
  <si>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</si>
  <si>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</si>
  <si>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</si>
  <si>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</si>
  <si>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</si>
  <si>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</si>
  <si>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</si>
  <si>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</si>
  <si>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</si>
  <si>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</si>
  <si>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Producer's Price Index</t>
  </si>
  <si>
    <t>Month :</t>
  </si>
  <si>
    <t>Quarter:</t>
  </si>
  <si>
    <t>Q2</t>
  </si>
  <si>
    <t>Q3</t>
  </si>
  <si>
    <t>Q4</t>
  </si>
  <si>
    <t>Source:</t>
  </si>
  <si>
    <t>https://fred.stlouisfed.org/series/WPU4532</t>
  </si>
  <si>
    <t>AS OF Q1- 2022, THIS IS NOW THE INDEX TO USE TO ADJUST HISTORICAL RATES FOR HORIZONTAL CONSTRUCTION PROJECTS</t>
  </si>
  <si>
    <t>Min Index During Year</t>
  </si>
  <si>
    <t>Max Index During Year</t>
  </si>
  <si>
    <t>Average Index During Year</t>
  </si>
  <si>
    <t>Year of Cost Data (linked to user input):</t>
  </si>
  <si>
    <t>FRED Graph Observations</t>
  </si>
  <si>
    <t>Change from Current: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</si>
  <si>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</si>
  <si>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</si>
  <si>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</si>
  <si>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</si>
  <si>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</si>
  <si>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Current Index:</t>
  </si>
  <si>
    <t>WPU4532</t>
  </si>
  <si>
    <t>Producer Price Index by Commodity: Professional Services (Partial): Engineering Services, Index Mar 2009=100, Monthly, Not Seasonally Adjusted</t>
  </si>
  <si>
    <t>Frequency: Monthly</t>
  </si>
  <si>
    <t>observation_date</t>
  </si>
  <si>
    <t>Quarter</t>
  </si>
  <si>
    <t>Year of Observation</t>
  </si>
  <si>
    <t>Min. % of Avg.</t>
  </si>
  <si>
    <t>https://fred.stlouisfed.org/series/WPUIP231231</t>
  </si>
  <si>
    <t>WPUIP231231</t>
  </si>
  <si>
    <t>Producer Price Index by Commodity: Inputs to Industries: Net Inputs to Highways and Streets, Excluding Capital Investment, Labor, and Imports, Index Dec 2014=100, Monthly, Not Seasonally Adjusted</t>
  </si>
  <si>
    <t>3 year Avg. Calc.</t>
  </si>
  <si>
    <t>Latest</t>
  </si>
  <si>
    <t>3 Year Avg.</t>
  </si>
  <si>
    <t>Alameda Lane Reduction</t>
  </si>
  <si>
    <t>Hadar Albo</t>
  </si>
  <si>
    <t>Engingeers estiamte</t>
  </si>
  <si>
    <t>Project is under $1 million</t>
  </si>
  <si>
    <t>Engineers estimate 100% plans</t>
  </si>
  <si>
    <t>Alameda Ave from Franklin to Lincoln</t>
  </si>
  <si>
    <t>37411 Rise Bond</t>
  </si>
  <si>
    <t>GO030</t>
  </si>
  <si>
    <t>PQ015</t>
  </si>
  <si>
    <t>Vision Zero</t>
  </si>
  <si>
    <t>SRTS</t>
  </si>
  <si>
    <t>PR008</t>
  </si>
  <si>
    <t>Safety and Neighborhood</t>
  </si>
  <si>
    <t>PC022</t>
  </si>
  <si>
    <t>Engineers estimate 100% plans, minus contingency and permit fees</t>
  </si>
  <si>
    <t>Staff charging number are pulled from actuals</t>
  </si>
  <si>
    <t>removing escalation</t>
  </si>
  <si>
    <t>change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</si>
</sst>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64" formatCode="[$-409]mmm\-yy;@"/>
    <numFmt numFmtId="165" formatCode="_(* #,##0_);_(* \(#,##0\);_(* &quot;-&quot;??_);_(@_)"/>
    <numFmt numFmtId="166" formatCode="yyyy\-mm\-dd"/>
    <numFmt numFmtId="167" formatCode="0.00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name val="Geogrotesque Rg"/>
    </font>
    <font>
      <b/>
      <sz val="14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Arial Narrow"/>
      <family val="2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F9F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57">
    <xf numFmtId="0" fontId="0" fillId="0" borderId="0" xfId="0"/>
    <xf numFmtId="0" fontId="4" fillId="0" borderId="0" xfId="4"/>
    <xf numFmtId="0" fontId="4" fillId="0" borderId="0" xfId="4" applyFont="1"/>
    <xf numFmtId="0" fontId="5" fillId="0" borderId="0" xfId="4" applyFont="1"/>
    <xf numFmtId="0" fontId="4" fillId="0" borderId="0" xfId="4" applyAlignment="1"/>
    <xf numFmtId="0" fontId="4" fillId="0" borderId="0" xfId="4" applyFont="1" applyAlignment="1"/>
    <xf numFmtId="0" fontId="4" fillId="0" borderId="0" xfId="4" applyFont="1" applyAlignment="1">
      <alignment wrapText="1"/>
    </xf>
    <xf numFmtId="0" fontId="3" fillId="3" borderId="1" xfId="3" applyAlignment="1">
      <alignment horizontal="center"/>
    </xf>
    <xf numFmtId="0" fontId="2" fillId="2" borderId="1" xfId="2" applyAlignment="1">
      <alignment horizontal="center"/>
    </xf>
    <xf numFmtId="0" fontId="4" fillId="0" borderId="0" xfId="4" applyAlignment="1">
      <alignment wrapText="1"/>
    </xf>
    <xf numFmtId="0" fontId="4" fillId="0" borderId="0" xfId="4" applyAlignment="1">
      <alignment vertical="top"/>
    </xf>
    <xf numFmtId="0" fontId="4" fillId="0" borderId="0" xfId="4" applyAlignment="1">
      <alignment vertical="top" wrapText="1"/>
    </xf>
    <xf numFmtId="1" fontId="7" fillId="0" borderId="0" xfId="4" applyNumberFormat="1" applyFont="1" applyAlignment="1">
      <alignment horizontal="center" wrapText="1"/>
    </xf>
    <xf numFmtId="3" fontId="7" fillId="0" borderId="0" xfId="4" applyNumberFormat="1" applyFont="1" applyAlignment="1">
      <alignment horizontal="center" wrapText="1"/>
    </xf>
    <xf numFmtId="14" fontId="7" fillId="0" borderId="0" xfId="4" applyNumberFormat="1" applyFont="1" applyAlignment="1">
      <alignment wrapText="1"/>
    </xf>
    <xf numFmtId="164" fontId="7" fillId="0" borderId="0" xfId="4" applyNumberFormat="1" applyFont="1" applyAlignment="1">
      <alignment horizontal="left" wrapText="1"/>
    </xf>
    <xf numFmtId="0" fontId="7" fillId="0" borderId="0" xfId="4" applyFont="1" applyAlignment="1">
      <alignment wrapText="1"/>
    </xf>
    <xf numFmtId="4" fontId="4" fillId="0" borderId="0" xfId="4" applyNumberFormat="1" applyAlignment="1">
      <alignment wrapText="1"/>
    </xf>
    <xf numFmtId="10" fontId="0" fillId="0" borderId="0" xfId="5" applyNumberFormat="1" applyFont="1" applyAlignment="1">
      <alignment horizontal="center" wrapText="1"/>
    </xf>
    <xf numFmtId="4" fontId="4" fillId="0" borderId="0" xfId="4" applyNumberFormat="1" applyAlignment="1">
      <alignment horizontal="center" wrapText="1"/>
    </xf>
    <xf numFmtId="0" fontId="4" fillId="0" borderId="0" xfId="4" applyFont="1" applyAlignment="1">
      <alignment horizontal="center" wrapText="1"/>
    </xf>
    <xf numFmtId="0" fontId="7" fillId="0" borderId="0" xfId="4" applyFont="1" applyAlignment="1">
      <alignment horizontal="center"/>
    </xf>
    <xf numFmtId="0" fontId="7" fillId="0" borderId="0" xfId="4" applyFont="1"/>
    <xf numFmtId="14" fontId="4" fillId="0" borderId="0" xfId="4" applyNumberFormat="1" applyAlignment="1">
      <alignment wrapText="1"/>
    </xf>
    <xf numFmtId="0" fontId="9" fillId="0" borderId="0" xfId="6" applyAlignment="1">
      <alignment wrapText="1"/>
    </xf>
    <xf numFmtId="0" fontId="4" fillId="0" borderId="0" xfId="4" applyAlignment="1">
      <alignment horizontal="center" vertical="center" wrapText="1"/>
    </xf>
    <xf numFmtId="0" fontId="9" fillId="0" borderId="0" xfId="6"/>
    <xf numFmtId="0" fontId="4" fillId="0" borderId="0" xfId="4" applyAlignment="1">
      <alignment vertical="center"/>
    </xf>
    <xf numFmtId="0" fontId="0" fillId="0" borderId="0" xfId="0" applyAlignment="1">
      <alignment horizontal="right"/>
    </xf>
    <xf numFmtId="0" fontId="10" fillId="0" borderId="0" xfId="0" applyFont="1"/>
    <xf numFmtId="0" fontId="12" fillId="0" borderId="0" xfId="0" applyFont="1"/>
    <xf numFmtId="0" fontId="14" fillId="0" borderId="0" xfId="0" applyFont="1"/>
    <xf numFmtId="8" fontId="0" fillId="0" borderId="0" xfId="0" applyNumberFormat="1"/>
    <xf numFmtId="0" fontId="15" fillId="0" borderId="0" xfId="0" applyFont="1"/>
    <xf numFmtId="0" fontId="16" fillId="0" borderId="0" xfId="0" applyFont="1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Alignment="1">
      <alignment horizontal="center"/>
    </xf>
    <xf numFmtId="9" fontId="0" fillId="0" borderId="3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0" fontId="0" fillId="0" borderId="4" xfId="0" applyBorder="1" applyAlignment="1">
      <alignment horizontal="center" textRotation="75"/>
    </xf>
    <xf numFmtId="0" fontId="0" fillId="0" borderId="5" xfId="0" applyFill="1" applyBorder="1" applyAlignment="1">
      <alignment textRotation="45"/>
    </xf>
    <xf numFmtId="0" fontId="10" fillId="0" borderId="0" xfId="0" applyFont="1" applyBorder="1" applyAlignment="1">
      <alignment horizontal="right" vertical="center" indent="2"/>
    </xf>
    <xf numFmtId="0" fontId="16" fillId="0" borderId="0" xfId="0" applyFont="1" applyBorder="1" applyAlignment="1">
      <alignment vertical="center"/>
    </xf>
    <xf numFmtId="10" fontId="0" fillId="0" borderId="0" xfId="1" applyNumberFormat="1" applyFont="1" applyBorder="1" applyAlignment="1">
      <alignment vertical="center"/>
    </xf>
    <xf numFmtId="0" fontId="10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43" fontId="0" fillId="0" borderId="4" xfId="7" applyNumberFormat="1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0" fillId="0" borderId="4" xfId="0" applyFont="1" applyBorder="1"/>
    <xf numFmtId="9" fontId="0" fillId="0" borderId="17" xfId="1" applyFont="1" applyBorder="1" applyAlignment="1">
      <alignment horizontal="center"/>
    </xf>
    <xf numFmtId="9" fontId="0" fillId="0" borderId="18" xfId="1" applyFont="1" applyBorder="1" applyAlignment="1">
      <alignment horizontal="center"/>
    </xf>
    <xf numFmtId="0" fontId="10" fillId="0" borderId="19" xfId="0" applyFont="1" applyBorder="1"/>
    <xf numFmtId="0" fontId="10" fillId="0" borderId="20" xfId="0" applyFont="1" applyBorder="1"/>
    <xf numFmtId="0" fontId="10" fillId="9" borderId="7" xfId="0" applyFont="1" applyFill="1" applyBorder="1" applyAlignment="1">
      <alignment horizontal="centerContinuous"/>
    </xf>
    <xf numFmtId="0" fontId="10" fillId="9" borderId="8" xfId="0" applyFont="1" applyFill="1" applyBorder="1" applyAlignment="1">
      <alignment horizontal="centerContinuous" vertical="center"/>
    </xf>
    <xf numFmtId="0" fontId="0" fillId="9" borderId="9" xfId="0" applyFill="1" applyBorder="1" applyAlignment="1">
      <alignment horizontal="centerContinuous" vertical="center"/>
    </xf>
    <xf numFmtId="0" fontId="10" fillId="10" borderId="7" xfId="0" applyFont="1" applyFill="1" applyBorder="1" applyAlignment="1">
      <alignment horizontal="centerContinuous"/>
    </xf>
    <xf numFmtId="0" fontId="10" fillId="10" borderId="8" xfId="0" applyFont="1" applyFill="1" applyBorder="1" applyAlignment="1">
      <alignment horizontal="centerContinuous" vertical="center"/>
    </xf>
    <xf numFmtId="0" fontId="0" fillId="10" borderId="9" xfId="0" applyFill="1" applyBorder="1" applyAlignment="1">
      <alignment horizontal="centerContinuous" vertical="center"/>
    </xf>
    <xf numFmtId="0" fontId="10" fillId="10" borderId="9" xfId="0" applyFont="1" applyFill="1" applyBorder="1" applyAlignment="1">
      <alignment horizontal="centerContinuous" vertical="center"/>
    </xf>
    <xf numFmtId="0" fontId="10" fillId="0" borderId="15" xfId="0" applyFont="1" applyBorder="1" applyAlignment="1">
      <alignment horizontal="right" vertical="center"/>
    </xf>
    <xf numFmtId="0" fontId="16" fillId="0" borderId="14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43" fontId="0" fillId="0" borderId="21" xfId="7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10" fontId="0" fillId="0" borderId="4" xfId="1" applyNumberFormat="1" applyFont="1" applyBorder="1" applyAlignment="1">
      <alignment horizontal="right" vertical="center"/>
    </xf>
    <xf numFmtId="0" fontId="16" fillId="0" borderId="13" xfId="0" applyFont="1" applyBorder="1" applyAlignment="1">
      <alignment vertical="center"/>
    </xf>
    <xf numFmtId="8" fontId="26" fillId="6" borderId="30" xfId="0" applyNumberFormat="1" applyFont="1" applyFill="1" applyBorder="1" applyAlignment="1" applyProtection="1">
      <alignment horizontal="right" vertical="center" wrapText="1"/>
    </xf>
    <xf numFmtId="8" fontId="26" fillId="4" borderId="30" xfId="0" applyNumberFormat="1" applyFont="1" applyFill="1" applyBorder="1" applyAlignment="1" applyProtection="1">
      <alignment horizontal="right" vertical="center" wrapText="1"/>
    </xf>
    <xf numFmtId="8" fontId="26" fillId="0" borderId="30" xfId="0" applyNumberFormat="1" applyFont="1" applyFill="1" applyBorder="1" applyAlignment="1" applyProtection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0" fillId="13" borderId="0" xfId="0" applyFill="1"/>
    <xf numFmtId="1" fontId="0" fillId="0" borderId="4" xfId="0" applyNumberFormat="1" applyBorder="1" applyAlignment="1">
      <alignment horizontal="center" vertical="center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6" xfId="0" applyBorder="1" applyProtection="1">
      <protection locked="0"/>
    </xf>
    <xf numFmtId="0" fontId="14" fillId="0" borderId="14" xfId="0" applyFont="1" applyBorder="1" applyAlignment="1" applyProtection="1">
      <alignment vertical="center"/>
      <protection locked="0"/>
    </xf>
    <xf numFmtId="0" fontId="14" fillId="0" borderId="15" xfId="0" applyFont="1" applyBorder="1" applyAlignment="1" applyProtection="1">
      <alignment vertical="center"/>
      <protection locked="0"/>
    </xf>
    <xf numFmtId="0" fontId="16" fillId="11" borderId="8" xfId="0" applyFont="1" applyFill="1" applyBorder="1" applyAlignment="1" applyProtection="1">
      <alignment vertical="center"/>
      <protection locked="0"/>
    </xf>
    <xf numFmtId="0" fontId="16" fillId="11" borderId="9" xfId="0" applyFont="1" applyFill="1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10" fillId="7" borderId="7" xfId="0" applyFont="1" applyFill="1" applyBorder="1" applyAlignment="1" applyProtection="1">
      <alignment vertical="center"/>
      <protection locked="0"/>
    </xf>
    <xf numFmtId="0" fontId="10" fillId="7" borderId="8" xfId="0" applyFont="1" applyFill="1" applyBorder="1" applyAlignment="1" applyProtection="1">
      <alignment vertical="center"/>
      <protection locked="0"/>
    </xf>
    <xf numFmtId="0" fontId="10" fillId="7" borderId="9" xfId="0" applyFont="1" applyFill="1" applyBorder="1" applyAlignment="1" applyProtection="1">
      <alignment vertical="center"/>
      <protection locked="0"/>
    </xf>
    <xf numFmtId="0" fontId="18" fillId="0" borderId="0" xfId="0" applyFont="1" applyFill="1" applyBorder="1" applyAlignment="1" applyProtection="1">
      <alignment vertical="center"/>
      <protection locked="0"/>
    </xf>
    <xf numFmtId="0" fontId="0" fillId="0" borderId="6" xfId="0" applyFill="1" applyBorder="1" applyAlignment="1" applyProtection="1">
      <alignment vertical="center"/>
      <protection locked="0"/>
    </xf>
    <xf numFmtId="0" fontId="0" fillId="7" borderId="7" xfId="0" applyFont="1" applyFill="1" applyBorder="1" applyAlignment="1" applyProtection="1">
      <alignment horizontal="left" vertical="center"/>
      <protection locked="0"/>
    </xf>
    <xf numFmtId="0" fontId="0" fillId="7" borderId="8" xfId="0" applyFill="1" applyBorder="1" applyAlignment="1" applyProtection="1">
      <alignment vertical="center"/>
      <protection locked="0"/>
    </xf>
    <xf numFmtId="0" fontId="0" fillId="7" borderId="9" xfId="0" applyFill="1" applyBorder="1" applyAlignment="1" applyProtection="1">
      <alignment vertical="center"/>
      <protection locked="0"/>
    </xf>
    <xf numFmtId="0" fontId="0" fillId="7" borderId="4" xfId="0" applyFont="1" applyFill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1" fontId="0" fillId="7" borderId="4" xfId="0" applyNumberFormat="1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vertical="center"/>
      <protection locked="0"/>
    </xf>
    <xf numFmtId="0" fontId="16" fillId="0" borderId="12" xfId="0" applyFont="1" applyFill="1" applyBorder="1" applyAlignment="1" applyProtection="1">
      <alignment vertical="center"/>
      <protection locked="0"/>
    </xf>
    <xf numFmtId="0" fontId="16" fillId="0" borderId="0" xfId="0" applyFont="1" applyBorder="1" applyAlignment="1" applyProtection="1">
      <alignment vertical="center"/>
      <protection locked="0"/>
    </xf>
    <xf numFmtId="0" fontId="16" fillId="0" borderId="6" xfId="0" applyFont="1" applyBorder="1" applyAlignment="1" applyProtection="1">
      <alignment vertical="center"/>
      <protection locked="0"/>
    </xf>
    <xf numFmtId="0" fontId="0" fillId="7" borderId="4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 applyProtection="1">
      <alignment horizontal="center" vertical="center"/>
      <protection locked="0"/>
    </xf>
    <xf numFmtId="10" fontId="0" fillId="0" borderId="0" xfId="1" applyNumberFormat="1" applyFont="1" applyBorder="1" applyAlignment="1" applyProtection="1">
      <alignment vertical="center"/>
      <protection locked="0"/>
    </xf>
    <xf numFmtId="0" fontId="16" fillId="0" borderId="0" xfId="0" applyFont="1" applyBorder="1" applyProtection="1">
      <protection locked="0"/>
    </xf>
    <xf numFmtId="0" fontId="16" fillId="0" borderId="6" xfId="0" applyFont="1" applyBorder="1" applyProtection="1">
      <protection locked="0"/>
    </xf>
    <xf numFmtId="49" fontId="0" fillId="7" borderId="21" xfId="0" applyNumberFormat="1" applyFont="1" applyFill="1" applyBorder="1" applyAlignment="1" applyProtection="1">
      <alignment horizontal="center" vertical="center"/>
      <protection locked="0"/>
    </xf>
    <xf numFmtId="49" fontId="0" fillId="7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10" fontId="0" fillId="0" borderId="14" xfId="1" applyNumberFormat="1" applyFont="1" applyBorder="1" applyAlignment="1" applyProtection="1">
      <alignment vertical="center"/>
      <protection locked="0"/>
    </xf>
    <xf numFmtId="10" fontId="0" fillId="0" borderId="15" xfId="1" applyNumberFormat="1" applyFont="1" applyBorder="1" applyAlignment="1" applyProtection="1">
      <alignment vertical="center"/>
      <protection locked="0"/>
    </xf>
    <xf numFmtId="0" fontId="16" fillId="0" borderId="14" xfId="0" applyFont="1" applyBorder="1" applyProtection="1">
      <protection locked="0"/>
    </xf>
    <xf numFmtId="0" fontId="16" fillId="0" borderId="15" xfId="0" applyFont="1" applyBorder="1" applyProtection="1">
      <protection locked="0"/>
    </xf>
    <xf numFmtId="0" fontId="12" fillId="0" borderId="0" xfId="0" applyFont="1" applyProtection="1">
      <protection locked="0"/>
    </xf>
    <xf numFmtId="8" fontId="0" fillId="7" borderId="4" xfId="0" applyNumberFormat="1" applyFill="1" applyBorder="1" applyAlignment="1" applyProtection="1">
      <alignment vertical="center"/>
      <protection locked="0"/>
    </xf>
    <xf numFmtId="0" fontId="20" fillId="0" borderId="7" xfId="0" applyFont="1" applyBorder="1" applyAlignment="1" applyProtection="1">
      <alignment horizontal="left" vertical="center"/>
      <protection locked="0"/>
    </xf>
    <xf numFmtId="0" fontId="20" fillId="0" borderId="8" xfId="0" applyFont="1" applyBorder="1" applyAlignment="1" applyProtection="1">
      <alignment horizontal="left" vertical="center"/>
      <protection locked="0"/>
    </xf>
    <xf numFmtId="0" fontId="20" fillId="0" borderId="9" xfId="0" applyFont="1" applyBorder="1" applyAlignment="1" applyProtection="1">
      <alignment horizontal="left" vertical="center"/>
      <protection locked="0"/>
    </xf>
    <xf numFmtId="8" fontId="0" fillId="0" borderId="0" xfId="0" applyNumberFormat="1" applyProtection="1">
      <protection locked="0"/>
    </xf>
    <xf numFmtId="0" fontId="21" fillId="0" borderId="7" xfId="0" applyFont="1" applyBorder="1" applyAlignment="1" applyProtection="1">
      <alignment horizontal="left" vertical="center"/>
      <protection locked="0"/>
    </xf>
    <xf numFmtId="0" fontId="15" fillId="0" borderId="0" xfId="0" applyFont="1" applyProtection="1"/>
    <xf numFmtId="0" fontId="0" fillId="0" borderId="9" xfId="0" applyBorder="1" applyAlignment="1" applyProtection="1">
      <alignment vertical="center"/>
    </xf>
    <xf numFmtId="0" fontId="0" fillId="0" borderId="9" xfId="0" applyFill="1" applyBorder="1" applyAlignment="1" applyProtection="1">
      <alignment vertical="center"/>
    </xf>
    <xf numFmtId="0" fontId="22" fillId="0" borderId="4" xfId="0" applyFont="1" applyBorder="1" applyAlignment="1" applyProtection="1">
      <alignment horizontal="center" vertical="center"/>
    </xf>
    <xf numFmtId="8" fontId="11" fillId="6" borderId="24" xfId="0" applyNumberFormat="1" applyFont="1" applyFill="1" applyBorder="1" applyAlignment="1" applyProtection="1">
      <alignment vertical="center"/>
    </xf>
    <xf numFmtId="8" fontId="11" fillId="6" borderId="33" xfId="0" applyNumberFormat="1" applyFont="1" applyFill="1" applyBorder="1" applyProtection="1"/>
    <xf numFmtId="8" fontId="11" fillId="6" borderId="34" xfId="0" applyNumberFormat="1" applyFont="1" applyFill="1" applyBorder="1" applyProtection="1"/>
    <xf numFmtId="8" fontId="11" fillId="6" borderId="35" xfId="0" applyNumberFormat="1" applyFont="1" applyFill="1" applyBorder="1" applyProtection="1"/>
    <xf numFmtId="8" fontId="11" fillId="6" borderId="24" xfId="0" applyNumberFormat="1" applyFont="1" applyFill="1" applyBorder="1" applyProtection="1"/>
    <xf numFmtId="8" fontId="15" fillId="8" borderId="25" xfId="0" applyNumberFormat="1" applyFont="1" applyFill="1" applyBorder="1" applyAlignment="1" applyProtection="1">
      <alignment vertical="center"/>
    </xf>
    <xf numFmtId="8" fontId="15" fillId="8" borderId="36" xfId="0" applyNumberFormat="1" applyFont="1" applyFill="1" applyBorder="1" applyAlignment="1" applyProtection="1">
      <alignment vertical="center"/>
    </xf>
    <xf numFmtId="8" fontId="15" fillId="8" borderId="4" xfId="0" applyNumberFormat="1" applyFont="1" applyFill="1" applyBorder="1" applyAlignment="1" applyProtection="1">
      <alignment vertical="center"/>
    </xf>
    <xf numFmtId="8" fontId="15" fillId="8" borderId="37" xfId="0" applyNumberFormat="1" applyFont="1" applyFill="1" applyBorder="1" applyAlignment="1" applyProtection="1">
      <alignment vertical="center"/>
    </xf>
    <xf numFmtId="0" fontId="0" fillId="0" borderId="0" xfId="0" applyAlignment="1" applyProtection="1">
      <alignment horizontal="left" indent="4"/>
    </xf>
    <xf numFmtId="8" fontId="0" fillId="0" borderId="25" xfId="0" applyNumberFormat="1" applyFill="1" applyBorder="1" applyAlignment="1" applyProtection="1">
      <alignment vertical="center"/>
    </xf>
    <xf numFmtId="8" fontId="0" fillId="6" borderId="25" xfId="0" applyNumberFormat="1" applyFill="1" applyBorder="1" applyProtection="1"/>
    <xf numFmtId="8" fontId="0" fillId="0" borderId="25" xfId="0" applyNumberFormat="1" applyBorder="1" applyProtection="1"/>
    <xf numFmtId="8" fontId="0" fillId="8" borderId="25" xfId="0" quotePrefix="1" applyNumberFormat="1" applyFill="1" applyBorder="1" applyAlignment="1" applyProtection="1">
      <alignment horizontal="right" vertical="center"/>
    </xf>
    <xf numFmtId="8" fontId="0" fillId="8" borderId="25" xfId="0" quotePrefix="1" applyNumberFormat="1" applyFill="1" applyBorder="1" applyAlignment="1" applyProtection="1">
      <alignment vertical="center"/>
    </xf>
    <xf numFmtId="0" fontId="15" fillId="0" borderId="0" xfId="0" applyFont="1" applyFill="1" applyProtection="1"/>
    <xf numFmtId="8" fontId="0" fillId="8" borderId="25" xfId="0" applyNumberFormat="1" applyFill="1" applyBorder="1" applyAlignment="1" applyProtection="1">
      <alignment horizontal="right" vertical="center"/>
    </xf>
    <xf numFmtId="8" fontId="0" fillId="8" borderId="25" xfId="0" applyNumberFormat="1" applyFill="1" applyBorder="1" applyAlignment="1" applyProtection="1">
      <alignment vertical="center"/>
    </xf>
    <xf numFmtId="8" fontId="15" fillId="8" borderId="26" xfId="0" applyNumberFormat="1" applyFont="1" applyFill="1" applyBorder="1" applyAlignment="1" applyProtection="1">
      <alignment vertical="center"/>
    </xf>
    <xf numFmtId="1" fontId="0" fillId="12" borderId="4" xfId="0" applyNumberFormat="1" applyFont="1" applyFill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165" fontId="0" fillId="8" borderId="4" xfId="7" applyNumberFormat="1" applyFont="1" applyFill="1" applyBorder="1" applyAlignment="1" applyProtection="1">
      <alignment horizontal="right"/>
    </xf>
    <xf numFmtId="165" fontId="0" fillId="8" borderId="4" xfId="7" applyNumberFormat="1" applyFont="1" applyFill="1" applyBorder="1" applyAlignment="1" applyProtection="1">
      <alignment horizontal="center" vertical="center"/>
    </xf>
    <xf numFmtId="9" fontId="0" fillId="8" borderId="21" xfId="1" applyFont="1" applyFill="1" applyBorder="1" applyAlignment="1" applyProtection="1">
      <alignment horizontal="center" vertical="center"/>
    </xf>
    <xf numFmtId="9" fontId="0" fillId="8" borderId="4" xfId="1" applyFont="1" applyFill="1" applyBorder="1" applyAlignment="1" applyProtection="1">
      <alignment horizontal="center" vertical="center"/>
    </xf>
    <xf numFmtId="8" fontId="11" fillId="6" borderId="8" xfId="0" applyNumberFormat="1" applyFont="1" applyFill="1" applyBorder="1" applyAlignment="1" applyProtection="1">
      <alignment vertical="center"/>
    </xf>
    <xf numFmtId="8" fontId="15" fillId="8" borderId="8" xfId="0" applyNumberFormat="1" applyFont="1" applyFill="1" applyBorder="1" applyAlignment="1" applyProtection="1">
      <alignment vertical="center"/>
    </xf>
    <xf numFmtId="8" fontId="0" fillId="8" borderId="4" xfId="0" quotePrefix="1" applyNumberFormat="1" applyFill="1" applyBorder="1" applyAlignment="1" applyProtection="1">
      <alignment horizontal="right" vertical="center"/>
    </xf>
    <xf numFmtId="8" fontId="0" fillId="8" borderId="4" xfId="0" quotePrefix="1" applyNumberFormat="1" applyFill="1" applyBorder="1" applyAlignment="1" applyProtection="1">
      <alignment vertical="center"/>
    </xf>
    <xf numFmtId="8" fontId="0" fillId="8" borderId="4" xfId="0" applyNumberFormat="1" applyFill="1" applyBorder="1" applyAlignment="1" applyProtection="1">
      <alignment horizontal="right" vertical="center"/>
    </xf>
    <xf numFmtId="8" fontId="0" fillId="8" borderId="4" xfId="0" applyNumberFormat="1" applyFill="1" applyBorder="1" applyAlignment="1" applyProtection="1">
      <alignment vertical="center"/>
    </xf>
    <xf numFmtId="0" fontId="21" fillId="0" borderId="7" xfId="0" applyFont="1" applyBorder="1" applyAlignment="1" applyProtection="1">
      <alignment horizontal="left" vertical="center"/>
    </xf>
    <xf numFmtId="0" fontId="20" fillId="0" borderId="7" xfId="0" applyFont="1" applyBorder="1" applyAlignment="1" applyProtection="1">
      <alignment horizontal="left" vertical="center"/>
    </xf>
    <xf numFmtId="0" fontId="21" fillId="0" borderId="7" xfId="0" applyFont="1" applyFill="1" applyBorder="1" applyAlignment="1" applyProtection="1">
      <alignment horizontal="left" vertical="center"/>
    </xf>
    <xf numFmtId="0" fontId="21" fillId="0" borderId="14" xfId="0" applyFont="1" applyBorder="1" applyAlignment="1" applyProtection="1">
      <alignment horizontal="left" vertical="center"/>
    </xf>
    <xf numFmtId="8" fontId="10" fillId="11" borderId="4" xfId="0" applyNumberFormat="1" applyFont="1" applyFill="1" applyBorder="1" applyProtection="1"/>
    <xf numFmtId="8" fontId="11" fillId="6" borderId="2" xfId="0" applyNumberFormat="1" applyFont="1" applyFill="1" applyBorder="1" applyProtection="1"/>
    <xf numFmtId="1" fontId="0" fillId="0" borderId="0" xfId="0" applyNumberFormat="1"/>
    <xf numFmtId="2" fontId="4" fillId="0" borderId="0" xfId="4" applyNumberFormat="1" applyAlignment="1">
      <alignment horizontal="center" vertical="center" wrapText="1"/>
    </xf>
    <xf numFmtId="0" fontId="0" fillId="0" borderId="10" xfId="0" applyBorder="1" applyProtection="1">
      <protection locked="0"/>
    </xf>
    <xf numFmtId="0" fontId="0" fillId="0" borderId="5" xfId="0" applyBorder="1" applyAlignment="1" applyProtection="1">
      <alignment vertical="center"/>
      <protection locked="0"/>
    </xf>
    <xf numFmtId="0" fontId="10" fillId="0" borderId="0" xfId="0" applyFont="1" applyProtection="1">
      <protection locked="0"/>
    </xf>
    <xf numFmtId="0" fontId="14" fillId="0" borderId="13" xfId="0" applyFont="1" applyBorder="1" applyAlignment="1" applyProtection="1">
      <alignment vertical="center"/>
      <protection locked="0"/>
    </xf>
    <xf numFmtId="0" fontId="14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0" fillId="0" borderId="0" xfId="0" applyFont="1" applyBorder="1" applyAlignment="1" applyProtection="1">
      <alignment horizontal="right" vertical="center" indent="2"/>
      <protection locked="0"/>
    </xf>
    <xf numFmtId="0" fontId="0" fillId="0" borderId="0" xfId="0" applyFill="1" applyProtection="1">
      <protection locked="0"/>
    </xf>
    <xf numFmtId="0" fontId="0" fillId="0" borderId="13" xfId="0" applyBorder="1" applyAlignment="1" applyProtection="1">
      <alignment vertical="center"/>
      <protection locked="0"/>
    </xf>
    <xf numFmtId="0" fontId="15" fillId="0" borderId="10" xfId="0" applyFont="1" applyFill="1" applyBorder="1" applyAlignment="1" applyProtection="1">
      <alignment vertical="center"/>
      <protection locked="0"/>
    </xf>
    <xf numFmtId="0" fontId="16" fillId="0" borderId="11" xfId="0" applyFont="1" applyFill="1" applyBorder="1" applyAlignment="1" applyProtection="1">
      <alignment horizontal="right" vertical="center" indent="2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horizontal="left" vertical="center"/>
      <protection locked="0"/>
    </xf>
    <xf numFmtId="0" fontId="27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10" fillId="0" borderId="0" xfId="0" applyFont="1" applyAlignment="1" applyProtection="1">
      <alignment wrapText="1"/>
      <protection locked="0"/>
    </xf>
    <xf numFmtId="0" fontId="10" fillId="0" borderId="23" xfId="0" applyFont="1" applyBorder="1" applyAlignment="1" applyProtection="1">
      <alignment horizontal="centerContinuous" wrapText="1"/>
      <protection locked="0"/>
    </xf>
    <xf numFmtId="0" fontId="25" fillId="6" borderId="23" xfId="0" applyFont="1" applyFill="1" applyBorder="1" applyAlignment="1" applyProtection="1">
      <alignment horizontal="center" vertical="center" wrapText="1"/>
      <protection locked="0"/>
    </xf>
    <xf numFmtId="8" fontId="23" fillId="4" borderId="23" xfId="0" applyNumberFormat="1" applyFont="1" applyFill="1" applyBorder="1" applyAlignment="1" applyProtection="1">
      <alignment horizontal="center" wrapText="1"/>
      <protection locked="0"/>
    </xf>
    <xf numFmtId="0" fontId="17" fillId="0" borderId="13" xfId="0" applyFont="1" applyBorder="1" applyProtection="1">
      <protection locked="0"/>
    </xf>
    <xf numFmtId="0" fontId="15" fillId="0" borderId="0" xfId="0" applyFont="1" applyAlignment="1" applyProtection="1">
      <alignment wrapText="1"/>
      <protection locked="0"/>
    </xf>
    <xf numFmtId="0" fontId="11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15" fillId="8" borderId="7" xfId="0" quotePrefix="1" applyFont="1" applyFill="1" applyBorder="1" applyAlignment="1" applyProtection="1">
      <alignment vertical="center"/>
      <protection locked="0"/>
    </xf>
    <xf numFmtId="0" fontId="15" fillId="0" borderId="0" xfId="0" applyFont="1" applyProtection="1">
      <protection locked="0"/>
    </xf>
    <xf numFmtId="8" fontId="0" fillId="7" borderId="36" xfId="0" applyNumberFormat="1" applyFill="1" applyBorder="1" applyProtection="1">
      <protection locked="0"/>
    </xf>
    <xf numFmtId="8" fontId="0" fillId="7" borderId="4" xfId="0" applyNumberFormat="1" applyFill="1" applyBorder="1" applyProtection="1">
      <protection locked="0"/>
    </xf>
    <xf numFmtId="8" fontId="0" fillId="7" borderId="37" xfId="0" applyNumberFormat="1" applyFill="1" applyBorder="1" applyProtection="1">
      <protection locked="0"/>
    </xf>
    <xf numFmtId="0" fontId="15" fillId="0" borderId="0" xfId="0" applyFont="1" applyFill="1" applyProtection="1">
      <protection locked="0"/>
    </xf>
    <xf numFmtId="0" fontId="10" fillId="0" borderId="0" xfId="0" applyFont="1" applyFill="1" applyProtection="1">
      <protection locked="0"/>
    </xf>
    <xf numFmtId="4" fontId="0" fillId="0" borderId="0" xfId="0" applyNumberFormat="1" applyProtection="1">
      <protection locked="0"/>
    </xf>
    <xf numFmtId="8" fontId="15" fillId="7" borderId="36" xfId="0" applyNumberFormat="1" applyFont="1" applyFill="1" applyBorder="1" applyAlignment="1" applyProtection="1">
      <alignment vertical="center"/>
      <protection locked="0"/>
    </xf>
    <xf numFmtId="8" fontId="15" fillId="7" borderId="4" xfId="0" applyNumberFormat="1" applyFont="1" applyFill="1" applyBorder="1" applyAlignment="1" applyProtection="1">
      <alignment vertical="center"/>
      <protection locked="0"/>
    </xf>
    <xf numFmtId="8" fontId="15" fillId="7" borderId="37" xfId="0" applyNumberFormat="1" applyFont="1" applyFill="1" applyBorder="1" applyAlignment="1" applyProtection="1">
      <alignment vertical="center"/>
      <protection locked="0"/>
    </xf>
    <xf numFmtId="8" fontId="15" fillId="7" borderId="38" xfId="0" applyNumberFormat="1" applyFont="1" applyFill="1" applyBorder="1" applyAlignment="1" applyProtection="1">
      <alignment vertical="center"/>
      <protection locked="0"/>
    </xf>
    <xf numFmtId="8" fontId="15" fillId="7" borderId="39" xfId="0" applyNumberFormat="1" applyFont="1" applyFill="1" applyBorder="1" applyAlignment="1" applyProtection="1">
      <alignment vertical="center"/>
      <protection locked="0"/>
    </xf>
    <xf numFmtId="8" fontId="15" fillId="7" borderId="40" xfId="0" applyNumberFormat="1" applyFont="1" applyFill="1" applyBorder="1" applyAlignment="1" applyProtection="1">
      <alignment vertical="center"/>
      <protection locked="0"/>
    </xf>
    <xf numFmtId="0" fontId="0" fillId="7" borderId="21" xfId="0" applyFill="1" applyBorder="1" applyAlignment="1" applyProtection="1">
      <alignment horizontal="center" vertical="center"/>
      <protection locked="0"/>
    </xf>
    <xf numFmtId="0" fontId="0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vertical="center"/>
      <protection locked="0"/>
    </xf>
    <xf numFmtId="0" fontId="4" fillId="0" borderId="0" xfId="4" applyAlignment="1">
      <alignment vertical="center" wrapText="1"/>
    </xf>
    <xf numFmtId="10" fontId="2" fillId="2" borderId="1" xfId="2" applyNumberFormat="1" applyAlignment="1">
      <alignment vertical="center"/>
    </xf>
    <xf numFmtId="0" fontId="5" fillId="0" borderId="0" xfId="4" applyFont="1" applyAlignment="1">
      <alignment vertical="center"/>
    </xf>
    <xf numFmtId="14" fontId="4" fillId="0" borderId="0" xfId="4" applyNumberFormat="1" applyFill="1" applyAlignment="1">
      <alignment horizontal="right"/>
    </xf>
    <xf numFmtId="0" fontId="24" fillId="7" borderId="27" xfId="0" applyFont="1" applyFill="1" applyBorder="1" applyAlignment="1" applyProtection="1">
      <alignment horizontal="centerContinuous" vertical="center" wrapText="1"/>
      <protection locked="0"/>
    </xf>
    <xf numFmtId="0" fontId="24" fillId="7" borderId="22" xfId="0" applyFont="1" applyFill="1" applyBorder="1" applyAlignment="1" applyProtection="1">
      <alignment horizontal="centerContinuous" vertical="center" wrapText="1"/>
      <protection locked="0"/>
    </xf>
    <xf numFmtId="8" fontId="26" fillId="7" borderId="28" xfId="0" applyNumberFormat="1" applyFont="1" applyFill="1" applyBorder="1" applyAlignment="1" applyProtection="1">
      <alignment horizontal="center" vertical="center" wrapText="1"/>
      <protection locked="0"/>
    </xf>
    <xf numFmtId="8" fontId="26" fillId="7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vertical="center"/>
    </xf>
    <xf numFmtId="0" fontId="13" fillId="0" borderId="0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horizontal="right" vertical="center"/>
    </xf>
    <xf numFmtId="0" fontId="15" fillId="11" borderId="7" xfId="0" applyFont="1" applyFill="1" applyBorder="1" applyAlignment="1" applyProtection="1">
      <alignment vertical="center"/>
    </xf>
    <xf numFmtId="0" fontId="16" fillId="11" borderId="8" xfId="0" applyFont="1" applyFill="1" applyBorder="1" applyAlignment="1" applyProtection="1">
      <alignment vertical="center"/>
    </xf>
    <xf numFmtId="0" fontId="0" fillId="0" borderId="5" xfId="0" applyBorder="1" applyAlignment="1" applyProtection="1">
      <alignment vertical="center"/>
    </xf>
    <xf numFmtId="0" fontId="10" fillId="0" borderId="0" xfId="0" applyFont="1" applyBorder="1" applyAlignment="1" applyProtection="1">
      <alignment horizontal="right" vertical="center" indent="2"/>
    </xf>
    <xf numFmtId="0" fontId="0" fillId="0" borderId="5" xfId="0" applyFill="1" applyBorder="1" applyAlignment="1" applyProtection="1">
      <alignment vertical="center"/>
    </xf>
    <xf numFmtId="0" fontId="10" fillId="0" borderId="0" xfId="0" applyFont="1" applyFill="1" applyBorder="1" applyAlignment="1" applyProtection="1">
      <alignment horizontal="right" vertical="center" indent="2"/>
    </xf>
    <xf numFmtId="0" fontId="0" fillId="0" borderId="13" xfId="0" applyBorder="1" applyAlignment="1" applyProtection="1">
      <alignment vertical="center"/>
    </xf>
    <xf numFmtId="0" fontId="0" fillId="0" borderId="14" xfId="0" applyBorder="1" applyAlignment="1" applyProtection="1">
      <alignment horizontal="right" vertical="center" indent="2"/>
    </xf>
    <xf numFmtId="0" fontId="16" fillId="11" borderId="8" xfId="0" applyFont="1" applyFill="1" applyBorder="1" applyAlignment="1" applyProtection="1">
      <alignment horizontal="right" vertical="center" indent="2"/>
    </xf>
    <xf numFmtId="0" fontId="0" fillId="0" borderId="0" xfId="0" applyBorder="1" applyAlignment="1" applyProtection="1">
      <alignment horizontal="right" vertical="center" indent="2"/>
    </xf>
    <xf numFmtId="0" fontId="15" fillId="0" borderId="0" xfId="0" applyFont="1" applyBorder="1" applyAlignment="1" applyProtection="1">
      <alignment horizontal="right" vertical="center" indent="2"/>
    </xf>
    <xf numFmtId="0" fontId="15" fillId="8" borderId="4" xfId="0" applyFont="1" applyFill="1" applyBorder="1" applyAlignment="1" applyProtection="1">
      <alignment horizontal="center" vertical="center"/>
    </xf>
    <xf numFmtId="0" fontId="15" fillId="8" borderId="7" xfId="0" applyFont="1" applyFill="1" applyBorder="1" applyAlignment="1" applyProtection="1">
      <alignment vertical="center"/>
    </xf>
    <xf numFmtId="0" fontId="16" fillId="8" borderId="9" xfId="0" applyFont="1" applyFill="1" applyBorder="1" applyAlignment="1" applyProtection="1">
      <alignment vertical="center"/>
    </xf>
    <xf numFmtId="0" fontId="0" fillId="11" borderId="8" xfId="0" applyFill="1" applyBorder="1" applyAlignment="1" applyProtection="1">
      <alignment vertical="center"/>
    </xf>
    <xf numFmtId="0" fontId="0" fillId="11" borderId="9" xfId="0" applyFill="1" applyBorder="1" applyAlignment="1" applyProtection="1">
      <alignment vertical="center"/>
    </xf>
    <xf numFmtId="0" fontId="11" fillId="6" borderId="7" xfId="0" applyFont="1" applyFill="1" applyBorder="1" applyAlignment="1" applyProtection="1">
      <alignment vertical="center"/>
    </xf>
    <xf numFmtId="0" fontId="12" fillId="6" borderId="8" xfId="0" applyFont="1" applyFill="1" applyBorder="1" applyAlignment="1" applyProtection="1">
      <alignment vertical="center"/>
    </xf>
    <xf numFmtId="8" fontId="30" fillId="6" borderId="8" xfId="0" applyNumberFormat="1" applyFont="1" applyFill="1" applyBorder="1" applyAlignment="1" applyProtection="1">
      <alignment vertical="center"/>
    </xf>
    <xf numFmtId="8" fontId="11" fillId="6" borderId="9" xfId="0" applyNumberFormat="1" applyFont="1" applyFill="1" applyBorder="1" applyAlignment="1" applyProtection="1">
      <alignment vertical="center"/>
    </xf>
    <xf numFmtId="0" fontId="15" fillId="8" borderId="7" xfId="0" quotePrefix="1" applyFont="1" applyFill="1" applyBorder="1" applyAlignment="1" applyProtection="1">
      <alignment vertical="center"/>
    </xf>
    <xf numFmtId="0" fontId="15" fillId="8" borderId="8" xfId="0" applyFont="1" applyFill="1" applyBorder="1" applyAlignment="1" applyProtection="1">
      <alignment vertical="center"/>
    </xf>
    <xf numFmtId="0" fontId="21" fillId="8" borderId="8" xfId="0" applyFont="1" applyFill="1" applyBorder="1" applyAlignment="1" applyProtection="1">
      <alignment vertical="center"/>
    </xf>
    <xf numFmtId="0" fontId="15" fillId="8" borderId="9" xfId="0" applyFont="1" applyFill="1" applyBorder="1" applyAlignment="1" applyProtection="1">
      <alignment vertical="center"/>
    </xf>
    <xf numFmtId="0" fontId="0" fillId="0" borderId="7" xfId="0" applyBorder="1" applyAlignment="1" applyProtection="1">
      <alignment vertical="center"/>
    </xf>
    <xf numFmtId="0" fontId="0" fillId="0" borderId="9" xfId="0" applyFont="1" applyBorder="1" applyAlignment="1" applyProtection="1">
      <alignment vertical="center"/>
    </xf>
    <xf numFmtId="0" fontId="20" fillId="0" borderId="8" xfId="0" applyFont="1" applyBorder="1" applyAlignment="1" applyProtection="1">
      <alignment horizontal="left" vertical="center"/>
    </xf>
    <xf numFmtId="0" fontId="20" fillId="0" borderId="9" xfId="0" applyFont="1" applyBorder="1" applyAlignment="1" applyProtection="1">
      <alignment horizontal="left" vertical="center"/>
    </xf>
    <xf numFmtId="0" fontId="20" fillId="0" borderId="14" xfId="0" applyFont="1" applyBorder="1" applyAlignment="1" applyProtection="1">
      <alignment horizontal="left" vertical="center"/>
    </xf>
    <xf numFmtId="0" fontId="20" fillId="0" borderId="15" xfId="0" applyFont="1" applyBorder="1" applyAlignment="1" applyProtection="1">
      <alignment horizontal="left" vertical="center"/>
    </xf>
    <xf numFmtId="0" fontId="31" fillId="0" borderId="7" xfId="0" applyFont="1" applyBorder="1" applyAlignment="1" applyProtection="1">
      <alignment horizontal="left" vertical="center"/>
    </xf>
    <xf numFmtId="0" fontId="0" fillId="0" borderId="0" xfId="0" applyProtection="1"/>
    <xf numFmtId="0" fontId="11" fillId="0" borderId="0" xfId="0" applyFont="1" applyProtection="1"/>
    <xf numFmtId="0" fontId="12" fillId="0" borderId="0" xfId="0" applyFont="1" applyProtection="1"/>
    <xf numFmtId="0" fontId="29" fillId="0" borderId="0" xfId="0" applyFont="1" applyBorder="1" applyAlignment="1" applyProtection="1">
      <alignment vertical="center"/>
    </xf>
    <xf numFmtId="0" fontId="0" fillId="0" borderId="6" xfId="0" applyBorder="1" applyAlignment="1" applyProtection="1">
      <alignment vertical="center"/>
    </xf>
    <xf numFmtId="0" fontId="20" fillId="0" borderId="0" xfId="0" applyFont="1" applyBorder="1" applyAlignment="1" applyProtection="1">
      <alignment vertical="center"/>
    </xf>
    <xf numFmtId="0" fontId="20" fillId="0" borderId="6" xfId="0" applyFont="1" applyBorder="1" applyAlignment="1" applyProtection="1">
      <alignment vertical="center"/>
    </xf>
    <xf numFmtId="0" fontId="16" fillId="0" borderId="0" xfId="0" applyFont="1" applyFill="1" applyProtection="1">
      <protection locked="0"/>
    </xf>
    <xf numFmtId="0" fontId="16" fillId="11" borderId="9" xfId="0" applyFont="1" applyFill="1" applyBorder="1" applyAlignment="1" applyProtection="1">
      <alignment vertical="center"/>
    </xf>
    <xf numFmtId="8" fontId="32" fillId="7" borderId="4" xfId="0" applyNumberFormat="1" applyFont="1" applyFill="1" applyBorder="1" applyAlignment="1" applyProtection="1">
      <alignment vertical="center"/>
      <protection locked="0"/>
    </xf>
    <xf numFmtId="0" fontId="16" fillId="0" borderId="5" xfId="0" applyFont="1" applyBorder="1" applyProtection="1">
      <protection locked="0"/>
    </xf>
    <xf numFmtId="0" fontId="15" fillId="11" borderId="13" xfId="0" applyFont="1" applyFill="1" applyBorder="1" applyAlignment="1" applyProtection="1">
      <alignment vertical="center"/>
    </xf>
    <xf numFmtId="0" fontId="15" fillId="11" borderId="10" xfId="0" applyFont="1" applyFill="1" applyBorder="1" applyAlignment="1" applyProtection="1">
      <alignment vertical="center"/>
    </xf>
    <xf numFmtId="0" fontId="16" fillId="11" borderId="11" xfId="0" applyFont="1" applyFill="1" applyBorder="1" applyAlignment="1" applyProtection="1">
      <alignment vertical="center"/>
    </xf>
    <xf numFmtId="0" fontId="16" fillId="11" borderId="12" xfId="0" applyFont="1" applyFill="1" applyBorder="1" applyAlignment="1" applyProtection="1">
      <alignment vertical="center"/>
      <protection locked="0"/>
    </xf>
    <xf numFmtId="0" fontId="16" fillId="11" borderId="14" xfId="0" applyFont="1" applyFill="1" applyBorder="1" applyProtection="1">
      <protection locked="0"/>
    </xf>
    <xf numFmtId="0" fontId="16" fillId="11" borderId="15" xfId="0" applyFont="1" applyFill="1" applyBorder="1" applyProtection="1">
      <protection locked="0"/>
    </xf>
    <xf numFmtId="0" fontId="0" fillId="0" borderId="0" xfId="0" applyAlignment="1" applyProtection="1">
      <alignment horizontal="left" wrapText="1" indent="4"/>
    </xf>
    <xf numFmtId="0" fontId="19" fillId="0" borderId="0" xfId="0" applyFont="1" applyBorder="1" applyAlignment="1" applyProtection="1">
      <alignment horizontal="left" wrapText="1"/>
      <protection locked="0"/>
    </xf>
    <xf numFmtId="0" fontId="20" fillId="0" borderId="7" xfId="0" applyFont="1" applyFill="1" applyBorder="1" applyAlignment="1" applyProtection="1">
      <alignment horizontal="left" vertical="center"/>
      <protection locked="0"/>
    </xf>
    <xf numFmtId="10" fontId="4" fillId="14" borderId="0" xfId="4" applyNumberFormat="1" applyFont="1" applyFill="1" applyAlignment="1">
      <alignment vertical="center"/>
    </xf>
    <xf numFmtId="0" fontId="33" fillId="16" borderId="47" xfId="0" applyFont="1" applyFill="1" applyBorder="1" applyAlignment="1">
      <alignment horizontal="center" vertical="center" wrapText="1"/>
    </xf>
    <xf numFmtId="0" fontId="33" fillId="16" borderId="48" xfId="0" applyFont="1" applyFill="1" applyBorder="1" applyAlignment="1">
      <alignment horizontal="center" vertical="center" wrapText="1"/>
    </xf>
    <xf numFmtId="0" fontId="33" fillId="17" borderId="48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0" fontId="34" fillId="15" borderId="52" xfId="0" applyFont="1" applyFill="1" applyBorder="1" applyAlignment="1">
      <alignment vertical="center"/>
    </xf>
    <xf numFmtId="4" fontId="34" fillId="16" borderId="47" xfId="0" applyNumberFormat="1" applyFont="1" applyFill="1" applyBorder="1" applyAlignment="1">
      <alignment horizontal="right" vertical="center"/>
    </xf>
    <xf numFmtId="4" fontId="34" fillId="17" borderId="48" xfId="0" applyNumberFormat="1" applyFont="1" applyFill="1" applyBorder="1" applyAlignment="1">
      <alignment horizontal="right" vertical="center"/>
    </xf>
    <xf numFmtId="4" fontId="34" fillId="18" borderId="47" xfId="0" applyNumberFormat="1" applyFont="1" applyFill="1" applyBorder="1" applyAlignment="1">
      <alignment horizontal="right" vertical="center" wrapText="1"/>
    </xf>
    <xf numFmtId="0" fontId="33" fillId="10" borderId="50" xfId="0" applyFont="1" applyFill="1" applyBorder="1" applyAlignment="1">
      <alignment horizontal="center" vertical="center" wrapText="1"/>
    </xf>
    <xf numFmtId="0" fontId="33" fillId="10" borderId="51" xfId="0" applyFont="1" applyFill="1" applyBorder="1" applyAlignment="1">
      <alignment horizontal="center" vertical="center" wrapText="1"/>
    </xf>
    <xf numFmtId="10" fontId="34" fillId="18" borderId="48" xfId="1" applyNumberFormat="1" applyFont="1" applyFill="1" applyBorder="1" applyAlignment="1">
      <alignment horizontal="right" vertical="center" wrapText="1"/>
    </xf>
    <xf numFmtId="10" fontId="34" fillId="17" borderId="49" xfId="1" applyNumberFormat="1" applyFont="1" applyFill="1" applyBorder="1" applyAlignment="1">
      <alignment horizontal="right" vertical="center"/>
    </xf>
    <xf numFmtId="10" fontId="34" fillId="16" borderId="48" xfId="1" applyNumberFormat="1" applyFont="1" applyFill="1" applyBorder="1" applyAlignment="1">
      <alignment horizontal="right" vertical="center"/>
    </xf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0" fontId="35" fillId="13" borderId="0" xfId="0" applyFont="1" applyFill="1"/>
    <xf numFmtId="167" fontId="0" fillId="19" borderId="0" xfId="0" applyNumberFormat="1" applyFill="1"/>
    <xf numFmtId="10" fontId="0" fillId="0" borderId="0" xfId="1" applyNumberFormat="1" applyFont="1"/>
    <xf numFmtId="0" fontId="4" fillId="0" borderId="0" xfId="4" applyAlignment="1">
      <alignment horizontal="center" wrapText="1"/>
    </xf>
    <xf numFmtId="0" fontId="0" fillId="0" borderId="9" xfId="0" applyBorder="1" applyAlignment="1">
      <alignment vertical="center"/>
    </xf>
    <xf numFmtId="0" fontId="7" fillId="0" borderId="0" xfId="0" applyFont="1" applyAlignment="1">
      <alignment wrapText="1"/>
    </xf>
    <xf numFmtId="0" fontId="7" fillId="0" borderId="0" xfId="0" applyFont="1" applyFill="1" applyAlignment="1">
      <alignment wrapText="1"/>
    </xf>
    <xf numFmtId="1" fontId="0" fillId="0" borderId="0" xfId="0" applyNumberFormat="1" applyAlignment="1">
      <alignment horizontal="right"/>
    </xf>
    <xf numFmtId="0" fontId="0" fillId="0" borderId="7" xfId="0" applyBorder="1" applyAlignment="1">
      <alignment vertical="center"/>
    </xf>
    <xf numFmtId="0" fontId="16" fillId="0" borderId="0" xfId="0" applyFont="1" applyFill="1" applyProtection="1"/>
    <xf numFmtId="0" fontId="0" fillId="0" borderId="0" xfId="0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43" fontId="0" fillId="0" borderId="13" xfId="7" applyFont="1" applyBorder="1" applyAlignment="1">
      <alignment horizontal="right" vertical="center"/>
    </xf>
    <xf numFmtId="43" fontId="0" fillId="0" borderId="7" xfId="7" applyNumberFormat="1" applyFont="1" applyBorder="1" applyAlignment="1">
      <alignment vertical="center"/>
    </xf>
    <xf numFmtId="10" fontId="0" fillId="0" borderId="7" xfId="1" applyNumberFormat="1" applyFont="1" applyBorder="1" applyAlignment="1">
      <alignment horizontal="right" vertical="center"/>
    </xf>
    <xf numFmtId="43" fontId="10" fillId="0" borderId="13" xfId="7" applyFont="1" applyBorder="1" applyAlignment="1">
      <alignment horizontal="right" vertical="center"/>
    </xf>
    <xf numFmtId="43" fontId="10" fillId="0" borderId="7" xfId="7" applyNumberFormat="1" applyFont="1" applyBorder="1" applyAlignment="1">
      <alignment horizontal="right" vertical="center"/>
    </xf>
    <xf numFmtId="10" fontId="10" fillId="0" borderId="7" xfId="1" applyNumberFormat="1" applyFont="1" applyBorder="1" applyAlignment="1">
      <alignment horizontal="right" vertical="center"/>
    </xf>
    <xf numFmtId="0" fontId="4" fillId="0" borderId="0" xfId="4" applyFill="1" applyBorder="1"/>
    <xf numFmtId="0" fontId="4" fillId="0" borderId="0" xfId="4" applyFont="1" applyFill="1" applyBorder="1"/>
    <xf numFmtId="0" fontId="4" fillId="0" borderId="0" xfId="4" applyFill="1" applyBorder="1" applyAlignment="1">
      <alignment horizontal="center"/>
    </xf>
    <xf numFmtId="10" fontId="4" fillId="0" borderId="0" xfId="4" applyNumberFormat="1" applyFill="1" applyBorder="1" applyAlignment="1">
      <alignment horizontal="center"/>
    </xf>
    <xf numFmtId="0" fontId="0" fillId="0" borderId="9" xfId="0" applyFont="1" applyFill="1" applyBorder="1" applyAlignment="1" applyProtection="1">
      <alignment vertical="center"/>
    </xf>
    <xf numFmtId="0" fontId="0" fillId="0" borderId="9" xfId="0" applyFill="1" applyBorder="1" applyAlignment="1">
      <alignment vertical="center"/>
    </xf>
    <xf numFmtId="0" fontId="0" fillId="0" borderId="9" xfId="0" applyFont="1" applyFill="1" applyBorder="1" applyAlignment="1" applyProtection="1">
      <alignment vertical="center" wrapText="1"/>
    </xf>
    <xf numFmtId="0" fontId="0" fillId="8" borderId="9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9" xfId="0" applyFill="1" applyBorder="1" applyAlignment="1" applyProtection="1">
      <alignment vertical="center"/>
    </xf>
    <xf numFmtId="0" fontId="24" fillId="4" borderId="31" xfId="0" applyFont="1" applyFill="1" applyBorder="1" applyAlignment="1" applyProtection="1">
      <alignment horizontal="centerContinuous" vertical="center" wrapText="1"/>
      <protection locked="0"/>
    </xf>
    <xf numFmtId="8" fontId="26" fillId="4" borderId="32" xfId="0" applyNumberFormat="1" applyFont="1" applyFill="1" applyBorder="1" applyAlignment="1" applyProtection="1">
      <alignment horizontal="center" vertical="center" wrapText="1"/>
      <protection locked="0"/>
    </xf>
    <xf numFmtId="8" fontId="32" fillId="4" borderId="4" xfId="0" applyNumberFormat="1" applyFont="1" applyFill="1" applyBorder="1" applyAlignment="1" applyProtection="1">
      <alignment vertical="center"/>
      <protection locked="0"/>
    </xf>
    <xf numFmtId="8" fontId="0" fillId="4" borderId="4" xfId="0" applyNumberFormat="1" applyFill="1" applyBorder="1" applyAlignment="1" applyProtection="1">
      <alignment vertical="center"/>
      <protection locked="0"/>
    </xf>
    <xf numFmtId="0" fontId="0" fillId="7" borderId="7" xfId="0" applyFont="1" applyFill="1" applyBorder="1" applyAlignment="1" applyProtection="1">
      <alignment horizontal="left" vertical="center" wrapText="1"/>
      <protection locked="0"/>
    </xf>
    <xf numFmtId="0" fontId="0" fillId="7" borderId="8" xfId="0" applyFont="1" applyFill="1" applyBorder="1" applyAlignment="1" applyProtection="1">
      <alignment horizontal="left" vertical="center" wrapText="1"/>
      <protection locked="0"/>
    </xf>
    <xf numFmtId="0" fontId="0" fillId="7" borderId="9" xfId="0" applyFont="1" applyFill="1" applyBorder="1" applyAlignment="1" applyProtection="1">
      <alignment horizontal="left" vertical="center" wrapText="1"/>
      <protection locked="0"/>
    </xf>
    <xf numFmtId="0" fontId="0" fillId="7" borderId="10" xfId="0" applyFill="1" applyBorder="1" applyAlignment="1" applyProtection="1">
      <alignment horizontal="left" vertical="top" wrapText="1"/>
      <protection locked="0"/>
    </xf>
    <xf numFmtId="0" fontId="0" fillId="7" borderId="11" xfId="0" applyFill="1" applyBorder="1" applyAlignment="1">
      <alignment horizontal="left" vertical="top" wrapText="1"/>
    </xf>
    <xf numFmtId="0" fontId="0" fillId="7" borderId="12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0" fillId="7" borderId="13" xfId="0" applyFill="1" applyBorder="1" applyAlignment="1">
      <alignment horizontal="left" vertical="top" wrapText="1"/>
    </xf>
    <xf numFmtId="0" fontId="0" fillId="7" borderId="14" xfId="0" applyFill="1" applyBorder="1" applyAlignment="1">
      <alignment horizontal="left" vertical="top" wrapText="1"/>
    </xf>
    <xf numFmtId="0" fontId="0" fillId="7" borderId="15" xfId="0" applyFill="1" applyBorder="1" applyAlignment="1">
      <alignment horizontal="left" vertical="top" wrapText="1"/>
    </xf>
    <xf numFmtId="0" fontId="0" fillId="7" borderId="10" xfId="0" applyFont="1" applyFill="1" applyBorder="1" applyAlignment="1" applyProtection="1">
      <alignment horizontal="left" vertical="top" wrapText="1"/>
      <protection locked="0"/>
    </xf>
    <xf numFmtId="0" fontId="0" fillId="7" borderId="11" xfId="0" applyFont="1" applyFill="1" applyBorder="1" applyAlignment="1" applyProtection="1">
      <alignment horizontal="left" vertical="top" wrapText="1"/>
      <protection locked="0"/>
    </xf>
    <xf numFmtId="0" fontId="0" fillId="7" borderId="12" xfId="0" applyFont="1" applyFill="1" applyBorder="1" applyAlignment="1" applyProtection="1">
      <alignment horizontal="left" vertical="top" wrapText="1"/>
      <protection locked="0"/>
    </xf>
    <xf numFmtId="0" fontId="0" fillId="7" borderId="5" xfId="0" applyFont="1" applyFill="1" applyBorder="1" applyAlignment="1" applyProtection="1">
      <alignment horizontal="left" vertical="top" wrapText="1"/>
      <protection locked="0"/>
    </xf>
    <xf numFmtId="0" fontId="0" fillId="7" borderId="0" xfId="0" applyFont="1" applyFill="1" applyBorder="1" applyAlignment="1" applyProtection="1">
      <alignment horizontal="left" vertical="top" wrapText="1"/>
      <protection locked="0"/>
    </xf>
    <xf numFmtId="0" fontId="0" fillId="7" borderId="6" xfId="0" applyFont="1" applyFill="1" applyBorder="1" applyAlignment="1" applyProtection="1">
      <alignment horizontal="left" vertical="top" wrapText="1"/>
      <protection locked="0"/>
    </xf>
    <xf numFmtId="0" fontId="0" fillId="7" borderId="13" xfId="0" applyFont="1" applyFill="1" applyBorder="1" applyAlignment="1" applyProtection="1">
      <alignment horizontal="left" vertical="top" wrapText="1"/>
      <protection locked="0"/>
    </xf>
    <xf numFmtId="0" fontId="0" fillId="7" borderId="14" xfId="0" applyFont="1" applyFill="1" applyBorder="1" applyAlignment="1" applyProtection="1">
      <alignment horizontal="left" vertical="top" wrapText="1"/>
      <protection locked="0"/>
    </xf>
    <xf numFmtId="0" fontId="0" fillId="7" borderId="15" xfId="0" applyFont="1" applyFill="1" applyBorder="1" applyAlignment="1" applyProtection="1">
      <alignment horizontal="left" vertical="top" wrapText="1"/>
      <protection locked="0"/>
    </xf>
    <xf numFmtId="0" fontId="6" fillId="0" borderId="41" xfId="4" applyFont="1" applyBorder="1" applyAlignment="1">
      <alignment horizontal="center" vertical="center" wrapText="1"/>
    </xf>
    <xf numFmtId="0" fontId="6" fillId="0" borderId="0" xfId="4" applyFont="1" applyAlignment="1">
      <alignment horizontal="center" vertical="center" wrapText="1"/>
    </xf>
    <xf numFmtId="0" fontId="4" fillId="0" borderId="0" xfId="4" applyAlignment="1">
      <alignment horizontal="left" wrapText="1"/>
    </xf>
    <xf numFmtId="0" fontId="0" fillId="13" borderId="0" xfId="0" applyFill="1" applyBorder="1" applyAlignment="1">
      <alignment horizontal="left" vertical="center"/>
    </xf>
    <xf numFmtId="0" fontId="10" fillId="20" borderId="7" xfId="0" applyFont="1" applyFill="1" applyBorder="1" applyAlignment="1">
      <alignment horizontal="center" vertical="center"/>
    </xf>
    <xf numFmtId="0" fontId="10" fillId="20" borderId="9" xfId="0" applyFont="1" applyFill="1" applyBorder="1" applyAlignment="1">
      <alignment horizontal="center" vertical="center"/>
    </xf>
    <xf numFmtId="0" fontId="5" fillId="0" borderId="0" xfId="4" applyFont="1" applyAlignment="1">
      <alignment horizontal="center" wrapText="1"/>
    </xf>
    <xf numFmtId="0" fontId="8" fillId="5" borderId="0" xfId="4" applyFont="1" applyFill="1" applyAlignment="1">
      <alignment horizontal="center" wrapText="1"/>
    </xf>
    <xf numFmtId="0" fontId="9" fillId="0" borderId="0" xfId="6" applyAlignment="1">
      <alignment horizontal="left" vertical="center"/>
    </xf>
    <xf numFmtId="0" fontId="4" fillId="0" borderId="0" xfId="4" applyFont="1" applyAlignment="1">
      <alignment horizontal="left"/>
    </xf>
    <xf numFmtId="0" fontId="33" fillId="15" borderId="53" xfId="0" applyFont="1" applyFill="1" applyBorder="1" applyAlignment="1">
      <alignment horizontal="center" vertical="center" wrapText="1"/>
    </xf>
    <xf numFmtId="0" fontId="33" fillId="15" borderId="50" xfId="0" applyFont="1" applyFill="1" applyBorder="1" applyAlignment="1">
      <alignment horizontal="center" vertical="center" wrapText="1"/>
    </xf>
    <xf numFmtId="0" fontId="33" fillId="16" borderId="43" xfId="0" applyFont="1" applyFill="1" applyBorder="1" applyAlignment="1">
      <alignment horizontal="center" vertical="center" wrapText="1"/>
    </xf>
    <xf numFmtId="0" fontId="33" fillId="16" borderId="44" xfId="0" applyFont="1" applyFill="1" applyBorder="1" applyAlignment="1">
      <alignment horizontal="center" vertical="center" wrapText="1"/>
    </xf>
    <xf numFmtId="0" fontId="33" fillId="17" borderId="54" xfId="0" applyFont="1" applyFill="1" applyBorder="1" applyAlignment="1">
      <alignment horizontal="center" vertical="center" wrapText="1"/>
    </xf>
    <xf numFmtId="0" fontId="33" fillId="17" borderId="45" xfId="0" applyFont="1" applyFill="1" applyBorder="1" applyAlignment="1">
      <alignment horizontal="center" vertical="center" wrapText="1"/>
    </xf>
    <xf numFmtId="0" fontId="33" fillId="18" borderId="42" xfId="0" applyFont="1" applyFill="1" applyBorder="1" applyAlignment="1">
      <alignment horizontal="center" vertical="center" wrapText="1"/>
    </xf>
    <xf numFmtId="0" fontId="33" fillId="18" borderId="46" xfId="0" applyFont="1" applyFill="1" applyBorder="1" applyAlignment="1">
      <alignment horizontal="center" vertical="center" wrapText="1"/>
    </xf>
  </cellXfs>
  <cellStyles count="8">
    <cellStyle name="Calculation" xfId="3" builtinId="22"/>
    <cellStyle name="Comma" xfId="7" builtinId="3"/>
    <cellStyle name="Hyperlink" xfId="6" builtinId="8"/>
    <cellStyle name="Input" xfId="2" builtinId="20"/>
    <cellStyle name="Normal" xfId="0" builtinId="0"/>
    <cellStyle name="Normal 2" xfId="4" xr:uid="{00000000-0005-0000-0000-000005000000}"/>
    <cellStyle name="Percent" xfId="1" builtinId="5"/>
    <cellStyle name="Percent 2" xfId="5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F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1</xdr:row>
      <xdr:rowOff>23812</xdr:rowOff>
    </xdr:from>
    <xdr:to>
      <xdr:col>30</xdr:col>
      <xdr:colOff>23812</xdr:colOff>
      <xdr:row>120</xdr:row>
      <xdr:rowOff>142873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78AC92-9D6F-4A31-9FFE-0AA8CE9B345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9" y="71437"/>
          <a:ext cx="18597563" cy="231457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2615995</xdr:colOff>
          <xdr:row>33</xdr:row>
          <xdr:rowOff>57274</xdr:rowOff>
        </xdr:from>
        <xdr:to>
          <xdr:col>5</xdr:col>
          <xdr:colOff>477989</xdr:colOff>
          <xdr:row>39</xdr:row>
          <xdr:rowOff>117167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Data Validation'!$B$3:$K$10" spid="_x0000_s130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2404" y="6239865"/>
              <a:ext cx="6680759" cy="146266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914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240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nvercity.sharepoint.com/IndexServices/Melinda/Global%20Index%20Review/US%20Ind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nvercity.sharepoint.com/IndexServices/Melinda/Global%20Index%20Review/Index%20Review%204%20(US%20Indice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hly Data"/>
      <sheetName val="Annual Data"/>
      <sheetName val="sectors"/>
      <sheetName val="sectors _ annual"/>
      <sheetName val="Stats"/>
      <sheetName val="size"/>
      <sheetName val="Excess Returns"/>
      <sheetName val="risk vs return"/>
      <sheetName val="S&amp;P 500"/>
      <sheetName val="cons disc"/>
      <sheetName val="cons staple"/>
      <sheetName val="energy"/>
      <sheetName val="Financial"/>
      <sheetName val="Healthcare"/>
      <sheetName val="Industrials"/>
      <sheetName val="Info Tech"/>
      <sheetName val="Materials"/>
      <sheetName val="Telecom"/>
      <sheetName val="Utilities"/>
      <sheetName val="mid cap"/>
      <sheetName val="sml cap"/>
      <sheetName val="total mkt"/>
      <sheetName val="largecap"/>
    </sheetNames>
    <sheetDataSet>
      <sheetData sheetId="0">
        <row r="3">
          <cell r="A3">
            <v>32142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thly Data"/>
      <sheetName val="Mthly Data (TR)"/>
      <sheetName val="sectors"/>
      <sheetName val="Qtrly Data"/>
      <sheetName val="Stats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500 portfolio"/>
      <sheetName val="500 pivot"/>
      <sheetName val="400 portfolio"/>
      <sheetName val="600 portfolio"/>
      <sheetName val="super portfolio"/>
      <sheetName val="900 portfolio"/>
      <sheetName val="1000 portfolio"/>
      <sheetName val="100 portfolio"/>
      <sheetName val="500 G portfolio"/>
      <sheetName val="500 V portfolio"/>
      <sheetName val="500 EWI portfolio"/>
      <sheetName val="1000 pivot"/>
      <sheetName val="400 G portfolio"/>
      <sheetName val="400 V portfolio"/>
      <sheetName val="600 G portfolio"/>
      <sheetName val="600 V portfolio"/>
      <sheetName val="sml mid pivot"/>
      <sheetName val="G&amp;V Comp"/>
      <sheetName val="Annual Data"/>
      <sheetName val="sectors annual"/>
      <sheetName val="34"/>
      <sheetName val="35"/>
      <sheetName val="36"/>
      <sheetName val="37"/>
      <sheetName val="38"/>
      <sheetName val="39"/>
      <sheetName val="Index Comp (TR)"/>
      <sheetName val="REIT"/>
      <sheetName val="REIT portfolio"/>
      <sheetName val="1000 porfolio"/>
      <sheetName val="4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.spindices.com/indices/indicators/sp-corelogic-case-shiller-denver-home-price-nsa-inde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WPU453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WPUIP231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127"/>
  <sheetViews>
    <sheetView showGridLines="0" zoomScale="55" zoomScaleNormal="55" workbookViewId="0">
      <selection activeCell="H12" sqref="H12"/>
    </sheetView>
  </sheetViews>
  <sheetFormatPr defaultRowHeight="14.4" outlineLevelRow="1"/>
  <cols>
    <col min="1" max="1" width="13.5546875" bestFit="1" customWidth="1"/>
  </cols>
  <sheetData>
    <row r="1" ht="5.0999999999999996" customHeight="1"/>
    <row r="3" s="31" customFormat="1" ht="5.0999999999999996" customHeight="1"/>
    <row r="4" s="34" customFormat="1" ht="15.6"/>
    <row r="14" s="34" customFormat="1" ht="15.6"/>
    <row r="16" ht="39.75" customHeight="1"/>
    <row r="20" s="34" customFormat="1" ht="15.6"/>
    <row r="21" s="34" customFormat="1" ht="15.6"/>
    <row r="22" s="34" customFormat="1" ht="15.6"/>
    <row r="23" s="34" customFormat="1" ht="15.6"/>
    <row r="24" s="34" customFormat="1" ht="15.6"/>
    <row r="25" s="34" customFormat="1" ht="15.6"/>
    <row r="26" s="34" customFormat="1" ht="15.6"/>
    <row r="27" s="34" customFormat="1" ht="15.6"/>
    <row r="28" s="34" customFormat="1" ht="15.6"/>
    <row r="29" s="34" customFormat="1" ht="15.6"/>
    <row r="30" s="34" customFormat="1" ht="15.6"/>
    <row r="31" s="34" customFormat="1" ht="15.6"/>
    <row r="32" s="34" customFormat="1" ht="15.6"/>
    <row r="33" spans="1:1" s="34" customFormat="1" ht="15.6"/>
    <row r="34" spans="1:1" s="34" customFormat="1" ht="9.9" customHeight="1"/>
    <row r="35" spans="1:1" s="34" customFormat="1" ht="15.6"/>
    <row r="42" spans="1:1" ht="32.25" customHeight="1"/>
    <row r="43" spans="1:1" s="34" customFormat="1" ht="20.100000000000001" customHeight="1"/>
    <row r="44" spans="1:1" s="30" customFormat="1" ht="15"/>
    <row r="45" spans="1:1" s="33" customFormat="1" ht="15.6"/>
    <row r="46" spans="1:1">
      <c r="A46" s="32"/>
    </row>
    <row r="47" spans="1:1" outlineLevel="1"/>
    <row r="48" spans="1:1" outlineLevel="1">
      <c r="A48" s="32"/>
    </row>
    <row r="49" spans="1:1" outlineLevel="1"/>
    <row r="50" spans="1:1" outlineLevel="1">
      <c r="A50" s="32"/>
    </row>
    <row r="51" spans="1:1" outlineLevel="1"/>
    <row r="54" spans="1:1" s="33" customFormat="1" ht="15.6"/>
    <row r="55" spans="1:1" s="29" customFormat="1"/>
    <row r="56" spans="1:1" outlineLevel="1"/>
    <row r="57" spans="1:1" outlineLevel="1"/>
    <row r="58" spans="1:1" outlineLevel="1"/>
    <row r="61" spans="1:1" s="33" customFormat="1" ht="15.6"/>
    <row r="63" spans="1:1" outlineLevel="1"/>
    <row r="64" spans="1:1" outlineLevel="1"/>
    <row r="65" outlineLevel="1"/>
    <row r="66" outlineLevel="1"/>
    <row r="70" s="33" customFormat="1" ht="15.6"/>
    <row r="71" s="29" customFormat="1"/>
    <row r="72" s="29" customFormat="1" outlineLevel="1"/>
    <row r="73" s="29" customFormat="1" outlineLevel="1"/>
    <row r="74" s="29" customFormat="1" outlineLevel="1"/>
    <row r="75" s="29" customFormat="1" outlineLevel="1"/>
    <row r="76" outlineLevel="1"/>
    <row r="77" outlineLevel="1"/>
    <row r="78" outlineLevel="1"/>
    <row r="79" outlineLevel="1"/>
    <row r="83" s="33" customFormat="1" ht="15.6"/>
    <row r="85" outlineLevel="1"/>
    <row r="86" outlineLevel="1"/>
    <row r="87" outlineLevel="1"/>
    <row r="90" s="33" customFormat="1" ht="15.6"/>
    <row r="92" outlineLevel="1"/>
    <row r="93" outlineLevel="1"/>
    <row r="94" outlineLevel="1"/>
    <row r="95" outlineLevel="1"/>
    <row r="99" s="33" customFormat="1" ht="15.6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4" s="33" customFormat="1" ht="15.6"/>
    <row r="116" outlineLevel="1"/>
    <row r="117" outlineLevel="1"/>
    <row r="118" outlineLevel="1"/>
    <row r="121" s="33" customFormat="1" ht="15.6"/>
    <row r="122" s="33" customFormat="1" ht="15.6"/>
    <row r="127" s="30" customFormat="1" ht="15"/>
  </sheetData>
  <sheetProtection algorithmName="SHA-512" hashValue="yM4zft4NRzYi+SHglYSlhNCybEXaMJFBWMBW5XzD/FBKWEcMUp/xVxUGSToARwKbUK9NkuEyHT7u2JbxC13oyQ==" saltValue="DchHNx1PXwROpK8xLgIhmA==" spinCount="100000" sheet="1" objects="1" scenarios="1"/>
  <pageMargins left="0.25" right="0.25" top="0.75" bottom="0.75" header="0.3" footer="0.3"/>
  <pageSetup scale="8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145"/>
  <sheetViews>
    <sheetView showGridLines="0" tabSelected="1" topLeftCell="A102" zoomScale="70" zoomScaleNormal="70" workbookViewId="0">
      <selection activeCell="D51" sqref="D51"/>
    </sheetView>
  </sheetViews>
  <sheetFormatPr defaultColWidth="9.109375" defaultRowHeight="14.4" outlineLevelCol="1"/>
  <cols>
    <col min="1" max="1" width="4.44140625" style="79" customWidth="1"/>
    <col min="2" max="2" width="10.6640625" style="79" customWidth="1"/>
    <col min="3" max="3" width="49.5546875" style="79" customWidth="1"/>
    <col min="4" max="4" width="58.6640625" style="79" customWidth="1"/>
    <col min="5" max="5" width="17.88671875" style="79" customWidth="1"/>
    <col min="6" max="6" width="10.6640625" style="79" customWidth="1"/>
    <col min="7" max="7" width="14.5546875" style="79" customWidth="1"/>
    <col min="8" max="8" width="18" style="79" customWidth="1"/>
    <col min="9" max="9" width="10.6640625" style="79" customWidth="1"/>
    <col min="10" max="10" width="3.6640625" style="79" customWidth="1"/>
    <col min="11" max="11" width="62.33203125" style="79" customWidth="1" outlineLevel="1"/>
    <col min="12" max="12" width="30.88671875" style="79" customWidth="1" outlineLevel="1"/>
    <col min="13" max="22" width="22.88671875" style="79" customWidth="1" outlineLevel="1"/>
    <col min="23" max="23" width="2.109375" style="79" customWidth="1" outlineLevel="1"/>
    <col min="24" max="24" width="19.33203125" style="79" customWidth="1" outlineLevel="1"/>
    <col min="25" max="25" width="2.109375" style="79" customWidth="1"/>
    <col min="26" max="26" width="10.109375" style="79" bestFit="1" customWidth="1"/>
    <col min="27" max="27" width="13.5546875" style="79" bestFit="1" customWidth="1"/>
    <col min="28" max="16384" width="9.109375" style="79"/>
  </cols>
  <sheetData>
    <row r="1" spans="2:16" ht="5.0999999999999996" customHeight="1" thickBot="1">
      <c r="B1" s="165"/>
      <c r="C1" s="77"/>
      <c r="D1" s="77"/>
      <c r="E1" s="77"/>
      <c r="F1" s="77"/>
      <c r="G1" s="77"/>
      <c r="H1" s="77"/>
      <c r="I1" s="78"/>
    </row>
    <row r="2" spans="2:16" ht="18" thickBot="1">
      <c r="B2" s="166"/>
      <c r="C2" s="214"/>
      <c r="D2" s="215" t="s">
        <v>0</v>
      </c>
      <c r="E2" s="214"/>
      <c r="F2" s="214"/>
      <c r="G2" s="216" t="s">
        <v>1</v>
      </c>
      <c r="H2" s="146" t="s">
        <v>2</v>
      </c>
      <c r="I2" s="81"/>
      <c r="P2" s="167" t="s">
        <v>3</v>
      </c>
    </row>
    <row r="3" spans="2:16" s="169" customFormat="1" ht="5.0999999999999996" customHeight="1">
      <c r="B3" s="168"/>
      <c r="C3" s="82"/>
      <c r="D3" s="82"/>
      <c r="E3" s="82"/>
      <c r="F3" s="82"/>
      <c r="G3" s="82"/>
      <c r="H3" s="82"/>
      <c r="I3" s="83"/>
    </row>
    <row r="4" spans="2:16" s="170" customFormat="1" ht="15.6">
      <c r="B4" s="217" t="s">
        <v>4</v>
      </c>
      <c r="C4" s="218"/>
      <c r="D4" s="84"/>
      <c r="E4" s="84"/>
      <c r="F4" s="84"/>
      <c r="G4" s="84"/>
      <c r="H4" s="84"/>
      <c r="I4" s="85"/>
    </row>
    <row r="5" spans="2:16">
      <c r="B5" s="219"/>
      <c r="C5" s="214"/>
      <c r="D5" s="80"/>
      <c r="E5" s="80"/>
      <c r="F5" s="80"/>
      <c r="G5" s="80"/>
      <c r="H5" s="80"/>
      <c r="I5" s="86"/>
    </row>
    <row r="6" spans="2:16">
      <c r="B6" s="219"/>
      <c r="C6" s="220" t="s">
        <v>5</v>
      </c>
      <c r="D6" s="87" t="s">
        <v>341</v>
      </c>
      <c r="E6" s="88"/>
      <c r="F6" s="88"/>
      <c r="G6" s="89"/>
      <c r="H6" s="90" t="s">
        <v>6</v>
      </c>
      <c r="I6" s="91"/>
      <c r="J6" s="172"/>
    </row>
    <row r="7" spans="2:16">
      <c r="B7" s="219"/>
      <c r="C7" s="220"/>
      <c r="D7" s="80"/>
      <c r="E7" s="80"/>
      <c r="F7" s="80"/>
      <c r="G7" s="80"/>
      <c r="H7" s="80"/>
      <c r="I7" s="86"/>
    </row>
    <row r="8" spans="2:16">
      <c r="B8" s="219"/>
      <c r="C8" s="220" t="s">
        <v>7</v>
      </c>
      <c r="D8" s="92" t="s">
        <v>346</v>
      </c>
      <c r="E8" s="93"/>
      <c r="F8" s="93"/>
      <c r="G8" s="94"/>
      <c r="H8" s="80"/>
      <c r="I8" s="86"/>
    </row>
    <row r="9" spans="2:16">
      <c r="B9" s="219"/>
      <c r="C9" s="220"/>
      <c r="D9" s="203"/>
      <c r="E9" s="204"/>
      <c r="F9" s="204"/>
      <c r="G9" s="204"/>
      <c r="H9" s="80"/>
      <c r="I9" s="86"/>
    </row>
    <row r="10" spans="2:16">
      <c r="B10" s="219"/>
      <c r="C10" s="220" t="s">
        <v>8</v>
      </c>
      <c r="D10" s="330" t="s">
        <v>9</v>
      </c>
      <c r="E10" s="331"/>
      <c r="F10" s="331"/>
      <c r="G10" s="332"/>
      <c r="H10" s="80"/>
      <c r="I10" s="86"/>
    </row>
    <row r="11" spans="2:16">
      <c r="B11" s="219"/>
      <c r="C11" s="220"/>
      <c r="D11" s="333"/>
      <c r="E11" s="334"/>
      <c r="F11" s="334"/>
      <c r="G11" s="335"/>
      <c r="H11" s="80"/>
      <c r="I11" s="86"/>
    </row>
    <row r="12" spans="2:16">
      <c r="B12" s="219"/>
      <c r="C12" s="220"/>
      <c r="D12" s="336"/>
      <c r="E12" s="337"/>
      <c r="F12" s="337"/>
      <c r="G12" s="338"/>
      <c r="H12" s="80"/>
      <c r="I12" s="86"/>
    </row>
    <row r="13" spans="2:16" s="172" customFormat="1">
      <c r="B13" s="221"/>
      <c r="C13" s="222"/>
      <c r="D13" s="213"/>
      <c r="E13" s="213"/>
      <c r="F13" s="213"/>
      <c r="G13" s="213"/>
      <c r="H13" s="204"/>
      <c r="I13" s="91"/>
    </row>
    <row r="14" spans="2:16">
      <c r="B14" s="219"/>
      <c r="C14" s="220" t="s">
        <v>10</v>
      </c>
      <c r="D14" s="330"/>
      <c r="E14" s="331"/>
      <c r="F14" s="331"/>
      <c r="G14" s="332"/>
      <c r="H14" s="80"/>
      <c r="I14" s="86"/>
    </row>
    <row r="15" spans="2:16">
      <c r="B15" s="219"/>
      <c r="C15" s="220"/>
      <c r="D15" s="333"/>
      <c r="E15" s="334"/>
      <c r="F15" s="334"/>
      <c r="G15" s="335"/>
      <c r="H15" s="80"/>
      <c r="I15" s="86"/>
    </row>
    <row r="16" spans="2:16">
      <c r="B16" s="219"/>
      <c r="C16" s="220"/>
      <c r="D16" s="336"/>
      <c r="E16" s="337"/>
      <c r="F16" s="337"/>
      <c r="G16" s="338"/>
      <c r="H16" s="80"/>
      <c r="I16" s="86"/>
    </row>
    <row r="17" spans="1:10">
      <c r="B17" s="219"/>
      <c r="C17" s="220"/>
      <c r="D17" s="80"/>
      <c r="E17" s="80"/>
      <c r="F17" s="80"/>
      <c r="G17" s="80"/>
      <c r="H17" s="80"/>
      <c r="I17" s="86"/>
    </row>
    <row r="18" spans="1:10">
      <c r="B18" s="219"/>
      <c r="C18" s="220" t="s">
        <v>11</v>
      </c>
      <c r="D18" s="95" t="s">
        <v>342</v>
      </c>
      <c r="E18" s="80"/>
      <c r="F18" s="80"/>
      <c r="G18" s="80"/>
      <c r="H18" s="80"/>
      <c r="I18" s="86"/>
    </row>
    <row r="19" spans="1:10">
      <c r="B19" s="219"/>
      <c r="C19" s="220"/>
      <c r="D19" s="80"/>
      <c r="E19" s="80"/>
      <c r="F19" s="80"/>
      <c r="G19" s="80"/>
      <c r="H19" s="80"/>
      <c r="I19" s="86"/>
    </row>
    <row r="20" spans="1:10">
      <c r="B20" s="219"/>
      <c r="C20" s="220" t="s">
        <v>12</v>
      </c>
      <c r="D20" s="145">
        <f>'Data Validation'!D3</f>
        <v>2024</v>
      </c>
      <c r="E20" s="80"/>
      <c r="F20" s="80"/>
      <c r="G20" s="80"/>
      <c r="H20" s="80"/>
      <c r="I20" s="86"/>
    </row>
    <row r="21" spans="1:10">
      <c r="B21" s="223"/>
      <c r="C21" s="224"/>
      <c r="D21" s="96"/>
      <c r="E21" s="96"/>
      <c r="F21" s="96"/>
      <c r="G21" s="96"/>
      <c r="H21" s="96"/>
      <c r="I21" s="97"/>
    </row>
    <row r="22" spans="1:10" s="170" customFormat="1" ht="15.6">
      <c r="B22" s="217" t="s">
        <v>13</v>
      </c>
      <c r="C22" s="225"/>
      <c r="D22" s="84"/>
      <c r="E22" s="84"/>
      <c r="F22" s="84"/>
      <c r="G22" s="84"/>
      <c r="H22" s="84"/>
      <c r="I22" s="85"/>
    </row>
    <row r="23" spans="1:10">
      <c r="B23" s="166"/>
      <c r="C23" s="226"/>
      <c r="D23" s="80"/>
      <c r="E23" s="80"/>
      <c r="F23" s="80"/>
      <c r="G23" s="80"/>
      <c r="H23" s="80"/>
      <c r="I23" s="86"/>
    </row>
    <row r="24" spans="1:10" ht="39.75" customHeight="1">
      <c r="B24" s="166"/>
      <c r="C24" s="220" t="s">
        <v>14</v>
      </c>
      <c r="D24" s="318" t="s">
        <v>343</v>
      </c>
      <c r="E24" s="319"/>
      <c r="F24" s="320"/>
      <c r="G24" s="80"/>
      <c r="H24" s="80"/>
      <c r="I24" s="86"/>
    </row>
    <row r="25" spans="1:10">
      <c r="B25" s="166"/>
      <c r="C25" s="220"/>
      <c r="D25" s="80"/>
      <c r="E25" s="80"/>
      <c r="F25" s="80"/>
      <c r="G25" s="80"/>
      <c r="H25" s="80"/>
      <c r="I25" s="86"/>
    </row>
    <row r="26" spans="1:10">
      <c r="B26" s="166"/>
      <c r="C26" s="220" t="s">
        <v>15</v>
      </c>
      <c r="D26" s="98">
        <v>2024</v>
      </c>
      <c r="E26" s="80"/>
      <c r="F26" s="80"/>
      <c r="G26" s="80"/>
      <c r="H26" s="80"/>
      <c r="I26" s="86"/>
    </row>
    <row r="27" spans="1:10">
      <c r="B27" s="166"/>
      <c r="C27" s="226"/>
      <c r="D27" s="80"/>
      <c r="E27" s="80"/>
      <c r="F27" s="80"/>
      <c r="G27" s="80"/>
      <c r="H27" s="80"/>
      <c r="I27" s="86"/>
    </row>
    <row r="28" spans="1:10" s="170" customFormat="1" ht="15.6">
      <c r="A28" s="255"/>
      <c r="B28" s="217" t="s">
        <v>16</v>
      </c>
      <c r="C28" s="225"/>
      <c r="D28" s="218"/>
      <c r="E28" s="218"/>
      <c r="F28" s="218"/>
      <c r="G28" s="218"/>
      <c r="H28" s="218"/>
      <c r="I28" s="256"/>
      <c r="J28" s="255"/>
    </row>
    <row r="29" spans="1:10" s="170" customFormat="1" ht="15.6">
      <c r="B29" s="174"/>
      <c r="C29" s="175"/>
      <c r="D29" s="99"/>
      <c r="E29" s="99"/>
      <c r="F29" s="99"/>
      <c r="G29" s="99"/>
      <c r="H29" s="99"/>
      <c r="I29" s="100"/>
    </row>
    <row r="30" spans="1:10" s="170" customFormat="1" ht="15.6">
      <c r="B30" s="176"/>
      <c r="C30" s="227" t="s">
        <v>17</v>
      </c>
      <c r="D30" s="228" t="s">
        <v>18</v>
      </c>
      <c r="E30" s="228" t="s">
        <v>19</v>
      </c>
      <c r="F30" s="101"/>
      <c r="G30" s="101"/>
      <c r="H30" s="101"/>
      <c r="I30" s="102"/>
    </row>
    <row r="31" spans="1:10" s="170" customFormat="1" ht="15.6">
      <c r="B31" s="176"/>
      <c r="C31" s="220" t="s">
        <v>20</v>
      </c>
      <c r="D31" s="103"/>
      <c r="E31" s="147">
        <f>IF(ISBLANK(D31),0,D31-'Data Validation'!$D$3)</f>
        <v>0</v>
      </c>
      <c r="F31" s="101"/>
      <c r="G31" s="101"/>
      <c r="H31" s="101"/>
      <c r="I31" s="102"/>
    </row>
    <row r="32" spans="1:10" s="170" customFormat="1" ht="15.6">
      <c r="B32" s="176"/>
      <c r="C32" s="220" t="s">
        <v>21</v>
      </c>
      <c r="D32" s="103"/>
      <c r="E32" s="148">
        <f>IF(ISBLANK(D32),0,D32-'Data Validation'!$D$3)</f>
        <v>0</v>
      </c>
      <c r="F32" s="101"/>
      <c r="G32" s="101"/>
      <c r="H32" s="101"/>
      <c r="I32" s="102"/>
    </row>
    <row r="33" spans="2:14" s="170" customFormat="1" ht="15.6">
      <c r="B33" s="176"/>
      <c r="C33" s="220" t="s">
        <v>22</v>
      </c>
      <c r="D33" s="103">
        <v>2025</v>
      </c>
      <c r="E33" s="148">
        <f>IF(ISBLANK(D33),0,D33-'Data Validation'!$D$3)</f>
        <v>1</v>
      </c>
      <c r="F33" s="101"/>
      <c r="G33" s="101"/>
      <c r="H33" s="101"/>
      <c r="I33" s="102"/>
    </row>
    <row r="34" spans="2:14" s="170" customFormat="1" ht="15.6">
      <c r="B34" s="176"/>
      <c r="C34" s="171"/>
      <c r="D34" s="104"/>
      <c r="E34" s="105"/>
      <c r="F34" s="101"/>
      <c r="J34" s="258"/>
    </row>
    <row r="35" spans="2:14" s="170" customFormat="1" ht="15.6">
      <c r="B35" s="176"/>
      <c r="C35" s="177" t="s">
        <v>23</v>
      </c>
      <c r="D35" s="106"/>
      <c r="E35" s="101"/>
      <c r="F35" s="101"/>
      <c r="G35" s="260" t="s">
        <v>24</v>
      </c>
      <c r="H35" s="261"/>
      <c r="I35" s="262"/>
    </row>
    <row r="36" spans="2:14" s="170" customFormat="1" ht="29.25" customHeight="1">
      <c r="B36" s="176"/>
      <c r="C36" s="266" t="s">
        <v>25</v>
      </c>
      <c r="D36" s="106"/>
      <c r="E36" s="106"/>
      <c r="F36" s="106"/>
      <c r="G36" s="259" t="s">
        <v>26</v>
      </c>
      <c r="H36" s="263"/>
      <c r="I36" s="264"/>
    </row>
    <row r="37" spans="2:14" s="170" customFormat="1" ht="15.6">
      <c r="B37" s="176"/>
      <c r="C37" s="106"/>
      <c r="D37" s="106"/>
      <c r="E37" s="106"/>
      <c r="F37" s="106"/>
      <c r="G37" s="202" t="s">
        <v>161</v>
      </c>
      <c r="H37" s="251" t="s">
        <v>28</v>
      </c>
      <c r="I37" s="252"/>
    </row>
    <row r="38" spans="2:14" s="170" customFormat="1" ht="15.6">
      <c r="B38" s="176"/>
      <c r="C38" s="106"/>
      <c r="D38" s="106"/>
      <c r="E38" s="106"/>
      <c r="F38" s="106"/>
      <c r="G38" s="251" t="s">
        <v>29</v>
      </c>
      <c r="H38" s="253"/>
      <c r="I38" s="254"/>
    </row>
    <row r="39" spans="2:14" s="170" customFormat="1" ht="15.6">
      <c r="B39" s="176"/>
      <c r="C39" s="106"/>
      <c r="D39" s="106"/>
      <c r="E39" s="106"/>
      <c r="F39" s="106"/>
      <c r="G39" s="321"/>
      <c r="H39" s="322"/>
      <c r="I39" s="323"/>
    </row>
    <row r="40" spans="2:14" s="170" customFormat="1" ht="15.6">
      <c r="B40" s="176"/>
      <c r="C40" s="106"/>
      <c r="D40" s="106"/>
      <c r="E40" s="106"/>
      <c r="F40" s="106"/>
      <c r="G40" s="324"/>
      <c r="H40" s="325"/>
      <c r="I40" s="326"/>
    </row>
    <row r="41" spans="2:14" s="170" customFormat="1" ht="15.6">
      <c r="B41" s="176"/>
      <c r="C41" s="106"/>
      <c r="D41" s="106"/>
      <c r="E41" s="106"/>
      <c r="F41" s="106"/>
      <c r="G41" s="327"/>
      <c r="H41" s="328"/>
      <c r="I41" s="329"/>
    </row>
    <row r="42" spans="2:14" s="170" customFormat="1" ht="9.9" customHeight="1">
      <c r="B42" s="176"/>
      <c r="C42" s="106"/>
      <c r="D42" s="106"/>
      <c r="E42" s="106"/>
      <c r="F42" s="106"/>
      <c r="G42" s="106"/>
      <c r="H42" s="106"/>
      <c r="I42" s="107"/>
    </row>
    <row r="43" spans="2:14" s="170" customFormat="1" ht="15.6">
      <c r="B43" s="176"/>
      <c r="C43" s="227" t="s">
        <v>30</v>
      </c>
      <c r="D43" s="228" t="s">
        <v>31</v>
      </c>
      <c r="E43" s="228" t="s">
        <v>32</v>
      </c>
      <c r="F43" s="101"/>
      <c r="G43" s="229" t="s">
        <v>33</v>
      </c>
      <c r="H43" s="230"/>
      <c r="I43" s="102"/>
    </row>
    <row r="44" spans="2:14">
      <c r="B44" s="166"/>
      <c r="C44" s="220" t="s">
        <v>34</v>
      </c>
      <c r="D44" s="108" t="s">
        <v>35</v>
      </c>
      <c r="E44" s="149">
        <f>IF(D44="AVG",'Data Validation'!C15,'Data Validation'!C16)</f>
        <v>0</v>
      </c>
      <c r="F44" s="80"/>
      <c r="G44" s="202" t="s">
        <v>161</v>
      </c>
      <c r="H44" s="251" t="s">
        <v>28</v>
      </c>
      <c r="I44" s="252"/>
      <c r="L44" s="178"/>
      <c r="N44" s="179"/>
    </row>
    <row r="45" spans="2:14">
      <c r="B45" s="166"/>
      <c r="C45" s="220" t="s">
        <v>36</v>
      </c>
      <c r="D45" s="109" t="s">
        <v>35</v>
      </c>
      <c r="E45" s="150">
        <f>IF(D45="AVG",'Data Validation'!D15,'Data Validation'!D16)</f>
        <v>0.05</v>
      </c>
      <c r="F45" s="80"/>
      <c r="G45" s="251" t="s">
        <v>29</v>
      </c>
      <c r="H45" s="253"/>
      <c r="I45" s="254"/>
      <c r="N45" s="179"/>
    </row>
    <row r="46" spans="2:14">
      <c r="B46" s="166"/>
      <c r="C46" s="220" t="s">
        <v>37</v>
      </c>
      <c r="D46" s="109" t="s">
        <v>35</v>
      </c>
      <c r="E46" s="150">
        <f>IF(D46="AVG",'Data Validation'!G15,'Data Validation'!G16)</f>
        <v>0.1</v>
      </c>
      <c r="F46" s="80"/>
      <c r="G46" s="321" t="s">
        <v>344</v>
      </c>
      <c r="H46" s="322"/>
      <c r="I46" s="323"/>
      <c r="N46" s="179"/>
    </row>
    <row r="47" spans="2:14">
      <c r="B47" s="166"/>
      <c r="C47" s="220" t="s">
        <v>38</v>
      </c>
      <c r="D47" s="109" t="s">
        <v>35</v>
      </c>
      <c r="E47" s="150">
        <f>IF(D47="AVG",'Data Validation'!H15,'Data Validation'!H16)</f>
        <v>0.1</v>
      </c>
      <c r="F47" s="80"/>
      <c r="G47" s="324"/>
      <c r="H47" s="325"/>
      <c r="I47" s="326"/>
    </row>
    <row r="48" spans="2:14">
      <c r="B48" s="166"/>
      <c r="C48" s="220" t="s">
        <v>39</v>
      </c>
      <c r="D48" s="109" t="s">
        <v>35</v>
      </c>
      <c r="E48" s="150">
        <f>IF(D48="AVG",'Data Validation'!I15,'Data Validation'!I16)</f>
        <v>0.05</v>
      </c>
      <c r="F48" s="80"/>
      <c r="G48" s="327"/>
      <c r="H48" s="328"/>
      <c r="I48" s="329"/>
    </row>
    <row r="49" spans="2:27" ht="15" thickBot="1">
      <c r="B49" s="173"/>
      <c r="C49" s="96"/>
      <c r="D49" s="110"/>
      <c r="E49" s="111"/>
      <c r="F49" s="96"/>
      <c r="G49" s="96"/>
      <c r="H49" s="96"/>
      <c r="I49" s="112"/>
      <c r="L49" s="167" t="s">
        <v>40</v>
      </c>
      <c r="M49" s="167" t="s">
        <v>41</v>
      </c>
    </row>
    <row r="50" spans="2:27" ht="32.25" customHeight="1" thickTop="1">
      <c r="B50" s="217" t="s">
        <v>42</v>
      </c>
      <c r="C50" s="231"/>
      <c r="D50" s="231"/>
      <c r="E50" s="231"/>
      <c r="F50" s="231"/>
      <c r="G50" s="231"/>
      <c r="H50" s="231"/>
      <c r="I50" s="232"/>
      <c r="K50" s="180" t="s">
        <v>43</v>
      </c>
      <c r="L50" s="181" t="s">
        <v>44</v>
      </c>
      <c r="M50" s="314" t="s">
        <v>347</v>
      </c>
      <c r="N50" s="209" t="s">
        <v>350</v>
      </c>
      <c r="O50" s="209" t="s">
        <v>351</v>
      </c>
      <c r="P50" s="209" t="s">
        <v>353</v>
      </c>
      <c r="Q50" s="209" t="s">
        <v>45</v>
      </c>
      <c r="R50" s="209" t="s">
        <v>46</v>
      </c>
      <c r="S50" s="209" t="s">
        <v>47</v>
      </c>
      <c r="T50" s="210" t="s">
        <v>48</v>
      </c>
      <c r="U50" s="182" t="s">
        <v>49</v>
      </c>
      <c r="V50" s="183" t="s">
        <v>50</v>
      </c>
      <c r="X50" s="180" t="s">
        <v>51</v>
      </c>
    </row>
    <row r="51" spans="2:27" s="170" customFormat="1" ht="46.5" customHeight="1" thickBot="1">
      <c r="B51" s="184"/>
      <c r="C51" s="113"/>
      <c r="D51" s="113"/>
      <c r="E51" s="113"/>
      <c r="F51" s="113"/>
      <c r="G51" s="113"/>
      <c r="H51" s="113"/>
      <c r="I51" s="114"/>
      <c r="K51" s="185"/>
      <c r="L51" s="73">
        <f>L52</f>
        <v>450675.38</v>
      </c>
      <c r="M51" s="315" t="s">
        <v>348</v>
      </c>
      <c r="N51" s="211" t="s">
        <v>349</v>
      </c>
      <c r="O51" s="211" t="s">
        <v>352</v>
      </c>
      <c r="P51" s="211" t="s">
        <v>354</v>
      </c>
      <c r="Q51" s="211" t="s">
        <v>52</v>
      </c>
      <c r="R51" s="211" t="s">
        <v>52</v>
      </c>
      <c r="S51" s="211" t="s">
        <v>52</v>
      </c>
      <c r="T51" s="212" t="s">
        <v>52</v>
      </c>
      <c r="U51" s="71">
        <f>SUM(M51:T51)</f>
        <v>0</v>
      </c>
      <c r="V51" s="72">
        <f t="shared" ref="V51:V85" si="0">U51-L51</f>
        <v>-450675.38</v>
      </c>
      <c r="X51" s="125" t="str">
        <f>IF(SUBTOTAL(9,M52:T134)=U51,"OK","REVIEW")</f>
        <v>REVIEW</v>
      </c>
      <c r="Y51" s="106"/>
      <c r="Z51" s="106"/>
    </row>
    <row r="52" spans="2:27" s="115" customFormat="1" ht="16.2" thickTop="1">
      <c r="B52" s="233" t="s">
        <v>53</v>
      </c>
      <c r="C52" s="234"/>
      <c r="D52" s="151">
        <f>ROUNDUP(SUM(D53,D62,D72,D81,D94,D101,D111,D126,D133,D134,D137),-2)</f>
        <v>450300</v>
      </c>
      <c r="E52" s="235" t="s">
        <v>54</v>
      </c>
      <c r="F52" s="151"/>
      <c r="G52" s="151"/>
      <c r="H52" s="151"/>
      <c r="I52" s="236"/>
      <c r="K52" s="186" t="s">
        <v>55</v>
      </c>
      <c r="L52" s="126">
        <f>(SUM(D53,D62,D72,D81,D94,D101,D111,D126,D133,D134))</f>
        <v>450675.38</v>
      </c>
      <c r="M52" s="127">
        <f t="shared" ref="M52:T52" si="1">SUBTOTAL(9,M53:M134)</f>
        <v>250000</v>
      </c>
      <c r="N52" s="128">
        <f t="shared" si="1"/>
        <v>210000</v>
      </c>
      <c r="O52" s="128">
        <f t="shared" si="1"/>
        <v>3000</v>
      </c>
      <c r="P52" s="128">
        <f t="shared" si="1"/>
        <v>66156.600000000006</v>
      </c>
      <c r="Q52" s="128">
        <f t="shared" si="1"/>
        <v>0</v>
      </c>
      <c r="R52" s="128">
        <f t="shared" si="1"/>
        <v>0</v>
      </c>
      <c r="S52" s="128">
        <f t="shared" si="1"/>
        <v>0</v>
      </c>
      <c r="T52" s="129">
        <f t="shared" si="1"/>
        <v>0</v>
      </c>
      <c r="U52" s="130">
        <f>SUM(M52:T52)</f>
        <v>529156.6</v>
      </c>
      <c r="V52" s="130">
        <f t="shared" si="0"/>
        <v>78481.219999999972</v>
      </c>
      <c r="X52" s="187"/>
    </row>
    <row r="53" spans="2:27" s="189" customFormat="1" ht="15.6">
      <c r="B53" s="237" t="s">
        <v>56</v>
      </c>
      <c r="C53" s="238"/>
      <c r="D53" s="152">
        <f>SUM(D54:D61)</f>
        <v>0</v>
      </c>
      <c r="E53" s="239"/>
      <c r="F53" s="238"/>
      <c r="G53" s="238"/>
      <c r="H53" s="238"/>
      <c r="I53" s="240"/>
      <c r="K53" s="122" t="str">
        <f>B53</f>
        <v xml:space="preserve">01 - Project Level </v>
      </c>
      <c r="L53" s="131">
        <f t="shared" ref="L53:L119" si="2">D53</f>
        <v>0</v>
      </c>
      <c r="M53" s="132">
        <f>SUBTOTAL(9,M54:M61)</f>
        <v>0</v>
      </c>
      <c r="N53" s="133">
        <f t="shared" ref="N53:T53" si="3">SUBTOTAL(9,N54:N61)</f>
        <v>0</v>
      </c>
      <c r="O53" s="133">
        <f t="shared" si="3"/>
        <v>0</v>
      </c>
      <c r="P53" s="133">
        <f t="shared" si="3"/>
        <v>0</v>
      </c>
      <c r="Q53" s="133">
        <f t="shared" si="3"/>
        <v>0</v>
      </c>
      <c r="R53" s="133">
        <f t="shared" si="3"/>
        <v>0</v>
      </c>
      <c r="S53" s="133">
        <f t="shared" si="3"/>
        <v>0</v>
      </c>
      <c r="T53" s="134">
        <f t="shared" si="3"/>
        <v>0</v>
      </c>
      <c r="U53" s="131">
        <f t="shared" ref="U53:U119" si="4">SUM(M53:T53)</f>
        <v>0</v>
      </c>
      <c r="V53" s="131">
        <f t="shared" si="0"/>
        <v>0</v>
      </c>
      <c r="X53" s="170"/>
    </row>
    <row r="54" spans="2:27">
      <c r="B54" s="241"/>
      <c r="C54" s="242" t="s">
        <v>57</v>
      </c>
      <c r="D54" s="116"/>
      <c r="E54" s="267"/>
      <c r="F54" s="118"/>
      <c r="G54" s="118"/>
      <c r="H54" s="118"/>
      <c r="I54" s="119"/>
      <c r="K54" s="135" t="str">
        <f>C54</f>
        <v>Project Level - General</v>
      </c>
      <c r="L54" s="136">
        <f t="shared" si="2"/>
        <v>0</v>
      </c>
      <c r="M54" s="190"/>
      <c r="N54" s="191"/>
      <c r="O54" s="191"/>
      <c r="P54" s="191"/>
      <c r="Q54" s="191"/>
      <c r="R54" s="191"/>
      <c r="S54" s="191"/>
      <c r="T54" s="192"/>
      <c r="U54" s="137">
        <f t="shared" si="4"/>
        <v>0</v>
      </c>
      <c r="V54" s="138">
        <f t="shared" si="0"/>
        <v>0</v>
      </c>
      <c r="AA54" s="120"/>
    </row>
    <row r="55" spans="2:27">
      <c r="B55" s="241"/>
      <c r="C55" s="123" t="s">
        <v>58</v>
      </c>
      <c r="D55" s="116"/>
      <c r="E55" s="117"/>
      <c r="F55" s="118"/>
      <c r="G55" s="118"/>
      <c r="H55" s="118"/>
      <c r="I55" s="119"/>
      <c r="K55" s="135" t="str">
        <f t="shared" ref="K55:K61" si="5">C55</f>
        <v>Communications/Outreach</v>
      </c>
      <c r="L55" s="136">
        <f t="shared" si="2"/>
        <v>0</v>
      </c>
      <c r="M55" s="190"/>
      <c r="N55" s="191"/>
      <c r="O55" s="191"/>
      <c r="P55" s="191"/>
      <c r="Q55" s="191"/>
      <c r="R55" s="191"/>
      <c r="S55" s="191"/>
      <c r="T55" s="192"/>
      <c r="U55" s="137">
        <f t="shared" si="4"/>
        <v>0</v>
      </c>
      <c r="V55" s="138">
        <f t="shared" si="0"/>
        <v>0</v>
      </c>
    </row>
    <row r="56" spans="2:27">
      <c r="B56" s="241"/>
      <c r="C56" s="123" t="s">
        <v>59</v>
      </c>
      <c r="D56" s="116"/>
      <c r="E56" s="117"/>
      <c r="F56" s="118"/>
      <c r="G56" s="118"/>
      <c r="H56" s="118"/>
      <c r="I56" s="119"/>
      <c r="K56" s="135" t="str">
        <f t="shared" si="5"/>
        <v>Legal</v>
      </c>
      <c r="L56" s="136">
        <f t="shared" si="2"/>
        <v>0</v>
      </c>
      <c r="M56" s="190"/>
      <c r="N56" s="191"/>
      <c r="O56" s="191"/>
      <c r="P56" s="191"/>
      <c r="Q56" s="191"/>
      <c r="R56" s="191"/>
      <c r="S56" s="191"/>
      <c r="T56" s="192"/>
      <c r="U56" s="137">
        <f t="shared" si="4"/>
        <v>0</v>
      </c>
      <c r="V56" s="138">
        <f t="shared" si="0"/>
        <v>0</v>
      </c>
      <c r="AA56" s="120"/>
    </row>
    <row r="57" spans="2:27">
      <c r="B57" s="241"/>
      <c r="C57" s="123" t="s">
        <v>60</v>
      </c>
      <c r="D57" s="116"/>
      <c r="E57" s="117"/>
      <c r="F57" s="118"/>
      <c r="G57" s="118"/>
      <c r="H57" s="118"/>
      <c r="I57" s="119"/>
      <c r="K57" s="135" t="str">
        <f t="shared" si="5"/>
        <v>Insurance</v>
      </c>
      <c r="L57" s="136">
        <f t="shared" si="2"/>
        <v>0</v>
      </c>
      <c r="M57" s="190"/>
      <c r="N57" s="191"/>
      <c r="O57" s="191"/>
      <c r="P57" s="191"/>
      <c r="Q57" s="191"/>
      <c r="R57" s="191"/>
      <c r="S57" s="191"/>
      <c r="T57" s="192"/>
      <c r="U57" s="137">
        <f t="shared" si="4"/>
        <v>0</v>
      </c>
      <c r="V57" s="138">
        <f t="shared" si="0"/>
        <v>0</v>
      </c>
    </row>
    <row r="58" spans="2:27">
      <c r="B58" s="241"/>
      <c r="C58" s="123" t="s">
        <v>61</v>
      </c>
      <c r="D58" s="116"/>
      <c r="E58" s="117"/>
      <c r="F58" s="118"/>
      <c r="G58" s="118"/>
      <c r="H58" s="118"/>
      <c r="I58" s="119"/>
      <c r="K58" s="135" t="str">
        <f t="shared" si="5"/>
        <v>Signage</v>
      </c>
      <c r="L58" s="136">
        <f t="shared" si="2"/>
        <v>0</v>
      </c>
      <c r="M58" s="190"/>
      <c r="N58" s="191"/>
      <c r="O58" s="191"/>
      <c r="P58" s="191"/>
      <c r="Q58" s="191"/>
      <c r="R58" s="191"/>
      <c r="S58" s="191"/>
      <c r="T58" s="192"/>
      <c r="U58" s="137">
        <f t="shared" si="4"/>
        <v>0</v>
      </c>
      <c r="V58" s="138">
        <f t="shared" si="0"/>
        <v>0</v>
      </c>
      <c r="AA58" s="120"/>
    </row>
    <row r="59" spans="2:27">
      <c r="B59" s="241"/>
      <c r="C59" s="123" t="s">
        <v>62</v>
      </c>
      <c r="D59" s="116"/>
      <c r="E59" s="117"/>
      <c r="F59" s="118"/>
      <c r="G59" s="118"/>
      <c r="H59" s="118"/>
      <c r="I59" s="119"/>
      <c r="K59" s="135" t="str">
        <f t="shared" si="5"/>
        <v>Other</v>
      </c>
      <c r="L59" s="136">
        <f t="shared" si="2"/>
        <v>0</v>
      </c>
      <c r="M59" s="190"/>
      <c r="N59" s="191"/>
      <c r="O59" s="191"/>
      <c r="P59" s="191"/>
      <c r="Q59" s="191"/>
      <c r="R59" s="191"/>
      <c r="S59" s="191"/>
      <c r="T59" s="192"/>
      <c r="U59" s="137">
        <f t="shared" si="4"/>
        <v>0</v>
      </c>
      <c r="V59" s="138">
        <f t="shared" si="0"/>
        <v>0</v>
      </c>
    </row>
    <row r="60" spans="2:27">
      <c r="B60" s="241"/>
      <c r="C60" s="123" t="str">
        <f>"Inflation adjust estimate to "&amp;H2</f>
        <v>Inflation adjust estimate to 1Q24</v>
      </c>
      <c r="D60" s="153">
        <f>IF(D26&gt;='Data Validation'!D3,0,IF(ISBLANK(D26),"Enter Year of Cost Data Above",ROUND((SUBTOTAL(9,D54:D59)*'Data Validation'!D10),2)))</f>
        <v>0</v>
      </c>
      <c r="E60" s="157" t="s">
        <v>63</v>
      </c>
      <c r="F60" s="243"/>
      <c r="G60" s="243"/>
      <c r="H60" s="243"/>
      <c r="I60" s="244"/>
      <c r="K60" s="135" t="str">
        <f t="shared" si="5"/>
        <v>Inflation adjust estimate to 1Q24</v>
      </c>
      <c r="L60" s="139">
        <f t="shared" si="2"/>
        <v>0</v>
      </c>
      <c r="M60" s="190"/>
      <c r="N60" s="191"/>
      <c r="O60" s="191"/>
      <c r="P60" s="191"/>
      <c r="Q60" s="191"/>
      <c r="R60" s="191"/>
      <c r="S60" s="191"/>
      <c r="T60" s="192"/>
      <c r="U60" s="137">
        <f t="shared" si="4"/>
        <v>0</v>
      </c>
      <c r="V60" s="138">
        <f t="shared" si="0"/>
        <v>0</v>
      </c>
    </row>
    <row r="61" spans="2:27">
      <c r="B61" s="241"/>
      <c r="C61" s="123" t="str">
        <f>"Escalation @ "&amp;TEXT('Cost Escalation'!D17*100,"0.00")&amp;"% per/Yr for "&amp;'PCW-Template'!E33&amp;" Year(s)"</f>
        <v>Escalation @ 5.00% per/Yr for 1 Year(s)</v>
      </c>
      <c r="D61" s="154">
        <f>ROUND((FV('Cost Escalation'!D14,E33,0,-SUM(D54:D60))-SUM(D54:D60)),2)</f>
        <v>0</v>
      </c>
      <c r="E61" s="160" t="str">
        <f>"Assumes "&amp;D33&amp; " Construction"</f>
        <v>Assumes 2025 Construction</v>
      </c>
      <c r="F61" s="245"/>
      <c r="G61" s="245"/>
      <c r="H61" s="245"/>
      <c r="I61" s="246"/>
      <c r="K61" s="135" t="str">
        <f t="shared" si="5"/>
        <v>Escalation @ 5.00% per/Yr for 1 Year(s)</v>
      </c>
      <c r="L61" s="140">
        <f t="shared" si="2"/>
        <v>0</v>
      </c>
      <c r="M61" s="190"/>
      <c r="N61" s="191"/>
      <c r="O61" s="191"/>
      <c r="P61" s="191"/>
      <c r="Q61" s="191"/>
      <c r="R61" s="191"/>
      <c r="S61" s="191"/>
      <c r="T61" s="192"/>
      <c r="U61" s="137">
        <f t="shared" si="4"/>
        <v>0</v>
      </c>
      <c r="V61" s="138">
        <f t="shared" si="0"/>
        <v>0</v>
      </c>
    </row>
    <row r="62" spans="2:27" s="189" customFormat="1" ht="15.6">
      <c r="B62" s="188" t="s">
        <v>64</v>
      </c>
      <c r="C62" s="238"/>
      <c r="D62" s="152">
        <f>SUM(D63:D71)</f>
        <v>8863.0499999999993</v>
      </c>
      <c r="E62" s="239" t="s">
        <v>65</v>
      </c>
      <c r="F62" s="238"/>
      <c r="G62" s="238"/>
      <c r="H62" s="238"/>
      <c r="I62" s="240"/>
      <c r="K62" s="141" t="str">
        <f>B62</f>
        <v xml:space="preserve">02 - Project Management </v>
      </c>
      <c r="L62" s="131">
        <f t="shared" si="2"/>
        <v>8863.0499999999993</v>
      </c>
      <c r="M62" s="132">
        <f t="shared" ref="M62:T62" si="6">SUBTOTAL(9,M63:M71)</f>
        <v>0</v>
      </c>
      <c r="N62" s="133">
        <f t="shared" si="6"/>
        <v>0</v>
      </c>
      <c r="O62" s="133">
        <f t="shared" si="6"/>
        <v>0</v>
      </c>
      <c r="P62" s="133">
        <f t="shared" si="6"/>
        <v>0</v>
      </c>
      <c r="Q62" s="133">
        <f t="shared" si="6"/>
        <v>0</v>
      </c>
      <c r="R62" s="133">
        <f t="shared" si="6"/>
        <v>0</v>
      </c>
      <c r="S62" s="133">
        <f t="shared" si="6"/>
        <v>0</v>
      </c>
      <c r="T62" s="134">
        <f t="shared" si="6"/>
        <v>0</v>
      </c>
      <c r="U62" s="131">
        <f t="shared" si="4"/>
        <v>0</v>
      </c>
      <c r="V62" s="131">
        <f t="shared" si="0"/>
        <v>-8863.0499999999993</v>
      </c>
    </row>
    <row r="63" spans="2:27">
      <c r="B63" s="241"/>
      <c r="C63" s="123" t="s">
        <v>66</v>
      </c>
      <c r="D63" s="116"/>
      <c r="E63" s="117"/>
      <c r="F63" s="118"/>
      <c r="G63" s="118"/>
      <c r="H63" s="118"/>
      <c r="I63" s="119"/>
      <c r="K63" s="135" t="str">
        <f t="shared" ref="K63:K71" si="7">C63</f>
        <v>Program/Project Management</v>
      </c>
      <c r="L63" s="136">
        <f t="shared" si="2"/>
        <v>0</v>
      </c>
      <c r="M63" s="190"/>
      <c r="N63" s="191"/>
      <c r="O63" s="191"/>
      <c r="P63" s="191"/>
      <c r="Q63" s="191"/>
      <c r="R63" s="191"/>
      <c r="S63" s="191"/>
      <c r="T63" s="192"/>
      <c r="U63" s="137">
        <f t="shared" si="4"/>
        <v>0</v>
      </c>
      <c r="V63" s="138">
        <f t="shared" si="0"/>
        <v>0</v>
      </c>
    </row>
    <row r="64" spans="2:27">
      <c r="B64" s="241"/>
      <c r="C64" s="123" t="s">
        <v>67</v>
      </c>
      <c r="D64" s="257"/>
      <c r="E64" s="117"/>
      <c r="F64" s="118"/>
      <c r="G64" s="118"/>
      <c r="H64" s="118"/>
      <c r="I64" s="119"/>
      <c r="K64" s="135" t="str">
        <f>C64</f>
        <v>Administration/ Other</v>
      </c>
      <c r="L64" s="136">
        <f t="shared" si="2"/>
        <v>0</v>
      </c>
      <c r="M64" s="190"/>
      <c r="N64" s="191"/>
      <c r="O64" s="191"/>
      <c r="P64" s="191"/>
      <c r="Q64" s="191"/>
      <c r="R64" s="191"/>
      <c r="S64" s="191"/>
      <c r="T64" s="192"/>
      <c r="U64" s="137">
        <f t="shared" si="4"/>
        <v>0</v>
      </c>
      <c r="V64" s="138">
        <f t="shared" si="0"/>
        <v>0</v>
      </c>
    </row>
    <row r="65" spans="2:25">
      <c r="B65" s="241"/>
      <c r="C65" s="308" t="s">
        <v>68</v>
      </c>
      <c r="D65" s="257"/>
      <c r="E65" s="117"/>
      <c r="F65" s="118"/>
      <c r="G65" s="118"/>
      <c r="H65" s="118"/>
      <c r="I65" s="119"/>
      <c r="K65" s="135" t="str">
        <f>C65</f>
        <v>Project Management-General</v>
      </c>
      <c r="L65" s="136">
        <f t="shared" si="2"/>
        <v>0</v>
      </c>
      <c r="M65" s="190"/>
      <c r="N65" s="191"/>
      <c r="O65" s="191"/>
      <c r="P65" s="191"/>
      <c r="Q65" s="191"/>
      <c r="R65" s="191"/>
      <c r="S65" s="191"/>
      <c r="T65" s="192"/>
      <c r="U65" s="137">
        <f t="shared" ref="U65" si="8">SUM(M65:T65)</f>
        <v>0</v>
      </c>
      <c r="V65" s="138">
        <f t="shared" ref="V65" si="9">U65-L65</f>
        <v>0</v>
      </c>
    </row>
    <row r="66" spans="2:25">
      <c r="B66" s="241"/>
      <c r="C66" s="312" t="s">
        <v>69</v>
      </c>
      <c r="D66" s="316">
        <v>8441</v>
      </c>
      <c r="E66" s="117"/>
      <c r="F66" s="118"/>
      <c r="G66" s="118"/>
      <c r="H66" s="118"/>
      <c r="I66" s="119"/>
      <c r="K66" s="135"/>
      <c r="L66" s="136"/>
      <c r="M66" s="190"/>
      <c r="N66" s="191"/>
      <c r="O66" s="191"/>
      <c r="P66" s="191"/>
      <c r="Q66" s="191"/>
      <c r="R66" s="191"/>
      <c r="S66" s="191"/>
      <c r="T66" s="192"/>
      <c r="U66" s="137"/>
      <c r="V66" s="138"/>
    </row>
    <row r="67" spans="2:25">
      <c r="B67" s="241"/>
      <c r="C67" s="312" t="s">
        <v>70</v>
      </c>
      <c r="D67" s="316"/>
      <c r="E67" s="117"/>
      <c r="F67" s="118"/>
      <c r="G67" s="118"/>
      <c r="H67" s="118"/>
      <c r="I67" s="119"/>
      <c r="K67" s="135"/>
      <c r="L67" s="136"/>
      <c r="M67" s="190"/>
      <c r="N67" s="191"/>
      <c r="O67" s="191"/>
      <c r="P67" s="191"/>
      <c r="Q67" s="191"/>
      <c r="R67" s="191"/>
      <c r="S67" s="191"/>
      <c r="T67" s="192"/>
      <c r="U67" s="137"/>
      <c r="V67" s="138"/>
    </row>
    <row r="68" spans="2:25">
      <c r="B68" s="241"/>
      <c r="C68" s="312" t="s">
        <v>71</v>
      </c>
      <c r="D68" s="316"/>
      <c r="E68" s="117"/>
      <c r="F68" s="118"/>
      <c r="G68" s="118"/>
      <c r="H68" s="118"/>
      <c r="I68" s="119"/>
      <c r="K68" s="135"/>
      <c r="L68" s="136"/>
      <c r="M68" s="190"/>
      <c r="N68" s="191"/>
      <c r="O68" s="191"/>
      <c r="P68" s="191"/>
      <c r="Q68" s="191"/>
      <c r="R68" s="191"/>
      <c r="S68" s="191"/>
      <c r="T68" s="192"/>
      <c r="U68" s="137"/>
      <c r="V68" s="138"/>
    </row>
    <row r="69" spans="2:25" s="167" customFormat="1">
      <c r="B69" s="241"/>
      <c r="C69" s="310" t="s">
        <v>72</v>
      </c>
      <c r="D69" s="155">
        <f>IF(G37="YES", E46*(SUM(D82:D91)+SUM(D95:D99)+SUM(D102:D108)+SUM(D112:D123)),0)</f>
        <v>0</v>
      </c>
      <c r="E69" s="247" t="s">
        <v>73</v>
      </c>
      <c r="F69" s="243"/>
      <c r="G69" s="243"/>
      <c r="H69" s="243"/>
      <c r="I69" s="244"/>
      <c r="K69" s="265" t="str">
        <f>C69</f>
        <v>Auto Calculated Project Management-General</v>
      </c>
      <c r="L69" s="136">
        <f>D69</f>
        <v>0</v>
      </c>
      <c r="M69" s="190"/>
      <c r="N69" s="191"/>
      <c r="O69" s="191"/>
      <c r="P69" s="191"/>
      <c r="Q69" s="191"/>
      <c r="R69" s="191"/>
      <c r="S69" s="191"/>
      <c r="T69" s="192"/>
      <c r="U69" s="137">
        <f>SUM(M69:T69)</f>
        <v>0</v>
      </c>
      <c r="V69" s="138">
        <f>U69-L69</f>
        <v>0</v>
      </c>
    </row>
    <row r="70" spans="2:25">
      <c r="B70" s="241"/>
      <c r="C70" s="123" t="str">
        <f>"Inflation adjust estimate to "&amp;H2</f>
        <v>Inflation adjust estimate to 1Q24</v>
      </c>
      <c r="D70" s="155">
        <f>IF(D26&gt;='Data Validation'!D3,0,IF(ISBLANK(D26),"Enter Year of Cost Data Above",ROUND((SUBTOTAL(9,D63:D68)*'Data Validation'!D10),2)))</f>
        <v>0</v>
      </c>
      <c r="E70" s="157" t="s">
        <v>63</v>
      </c>
      <c r="F70" s="243"/>
      <c r="G70" s="243"/>
      <c r="H70" s="243"/>
      <c r="I70" s="244"/>
      <c r="K70" s="135" t="str">
        <f t="shared" si="7"/>
        <v>Inflation adjust estimate to 1Q24</v>
      </c>
      <c r="L70" s="142">
        <f t="shared" si="2"/>
        <v>0</v>
      </c>
      <c r="M70" s="190"/>
      <c r="N70" s="191"/>
      <c r="O70" s="191"/>
      <c r="P70" s="191"/>
      <c r="Q70" s="191"/>
      <c r="R70" s="191"/>
      <c r="S70" s="191"/>
      <c r="T70" s="192"/>
      <c r="U70" s="137">
        <f t="shared" si="4"/>
        <v>0</v>
      </c>
      <c r="V70" s="138">
        <f t="shared" si="0"/>
        <v>0</v>
      </c>
    </row>
    <row r="71" spans="2:25">
      <c r="B71" s="241"/>
      <c r="C71" s="123" t="str">
        <f>"Escalation @ "&amp;TEXT('Cost Escalation'!D17*100,"0.00")&amp;"% per/Yr for "&amp;'PCW-Template'!E33&amp;" Year(s)"</f>
        <v>Escalation @ 5.00% per/Yr for 1 Year(s)</v>
      </c>
      <c r="D71" s="156">
        <f>ROUND((FV('Cost Escalation'!D14,E33,0,-SUM(D63:D70))-SUM(D63:D70)),2)</f>
        <v>422.05</v>
      </c>
      <c r="E71" s="157" t="str">
        <f>"Assumes "&amp;D33&amp; " Construction"</f>
        <v>Assumes 2025 Construction</v>
      </c>
      <c r="F71" s="243"/>
      <c r="G71" s="243"/>
      <c r="H71" s="243"/>
      <c r="I71" s="244"/>
      <c r="K71" s="135" t="str">
        <f t="shared" si="7"/>
        <v>Escalation @ 5.00% per/Yr for 1 Year(s)</v>
      </c>
      <c r="L71" s="143">
        <f t="shared" si="2"/>
        <v>422.05</v>
      </c>
      <c r="M71" s="190"/>
      <c r="N71" s="191"/>
      <c r="O71" s="191"/>
      <c r="P71" s="191"/>
      <c r="Q71" s="191"/>
      <c r="R71" s="191"/>
      <c r="S71" s="191"/>
      <c r="T71" s="192"/>
      <c r="U71" s="137">
        <f t="shared" si="4"/>
        <v>0</v>
      </c>
      <c r="V71" s="138">
        <f t="shared" si="0"/>
        <v>-422.05</v>
      </c>
    </row>
    <row r="72" spans="2:25" s="189" customFormat="1" ht="15.6">
      <c r="B72" s="237" t="s">
        <v>74</v>
      </c>
      <c r="C72" s="238"/>
      <c r="D72" s="152">
        <f>SUM(D73:D80)</f>
        <v>0</v>
      </c>
      <c r="E72" s="239"/>
      <c r="F72" s="238"/>
      <c r="G72" s="238"/>
      <c r="H72" s="238"/>
      <c r="I72" s="240"/>
      <c r="K72" s="141" t="str">
        <f>B72</f>
        <v>03 - Land Acquisition / Right of Way</v>
      </c>
      <c r="L72" s="131">
        <f t="shared" si="2"/>
        <v>0</v>
      </c>
      <c r="M72" s="132">
        <f>SUBTOTAL(9,M73:M80)</f>
        <v>0</v>
      </c>
      <c r="N72" s="133">
        <f t="shared" ref="N72:T72" si="10">SUBTOTAL(9,N73:N80)</f>
        <v>0</v>
      </c>
      <c r="O72" s="133">
        <f t="shared" si="10"/>
        <v>0</v>
      </c>
      <c r="P72" s="133">
        <f t="shared" si="10"/>
        <v>0</v>
      </c>
      <c r="Q72" s="133">
        <f t="shared" si="10"/>
        <v>0</v>
      </c>
      <c r="R72" s="133">
        <f t="shared" si="10"/>
        <v>0</v>
      </c>
      <c r="S72" s="133">
        <f t="shared" si="10"/>
        <v>0</v>
      </c>
      <c r="T72" s="134">
        <f t="shared" si="10"/>
        <v>0</v>
      </c>
      <c r="U72" s="131">
        <f t="shared" si="4"/>
        <v>0</v>
      </c>
      <c r="V72" s="131">
        <f t="shared" si="0"/>
        <v>0</v>
      </c>
    </row>
    <row r="73" spans="2:25">
      <c r="B73" s="241"/>
      <c r="C73" s="242" t="s">
        <v>75</v>
      </c>
      <c r="D73" s="116"/>
      <c r="E73" s="117"/>
      <c r="F73" s="118"/>
      <c r="G73" s="118"/>
      <c r="H73" s="118"/>
      <c r="I73" s="119"/>
      <c r="K73" s="135" t="str">
        <f t="shared" ref="K73:K80" si="11">C73</f>
        <v>Land/Right of Way-General</v>
      </c>
      <c r="L73" s="136">
        <f t="shared" ref="L73:L80" si="12">D73</f>
        <v>0</v>
      </c>
      <c r="M73" s="190"/>
      <c r="N73" s="191"/>
      <c r="O73" s="191"/>
      <c r="P73" s="191"/>
      <c r="Q73" s="191"/>
      <c r="R73" s="191"/>
      <c r="S73" s="191"/>
      <c r="T73" s="192"/>
      <c r="U73" s="137">
        <f t="shared" ref="U73:U79" si="13">SUM(M73:T73)</f>
        <v>0</v>
      </c>
      <c r="V73" s="138">
        <f t="shared" si="0"/>
        <v>0</v>
      </c>
    </row>
    <row r="74" spans="2:25">
      <c r="B74" s="241"/>
      <c r="C74" s="123" t="s">
        <v>76</v>
      </c>
      <c r="D74" s="116"/>
      <c r="E74" s="117"/>
      <c r="F74" s="118"/>
      <c r="G74" s="118"/>
      <c r="H74" s="118"/>
      <c r="I74" s="119"/>
      <c r="K74" s="135" t="str">
        <f t="shared" si="11"/>
        <v>Land / ROW Acquisition</v>
      </c>
      <c r="L74" s="136">
        <f t="shared" si="12"/>
        <v>0</v>
      </c>
      <c r="M74" s="190"/>
      <c r="N74" s="191"/>
      <c r="O74" s="191"/>
      <c r="P74" s="191"/>
      <c r="Q74" s="191"/>
      <c r="R74" s="191"/>
      <c r="S74" s="191"/>
      <c r="T74" s="192"/>
      <c r="U74" s="137">
        <f t="shared" si="13"/>
        <v>0</v>
      </c>
      <c r="V74" s="138">
        <f t="shared" si="0"/>
        <v>0</v>
      </c>
    </row>
    <row r="75" spans="2:25">
      <c r="B75" s="241"/>
      <c r="C75" s="123" t="s">
        <v>77</v>
      </c>
      <c r="D75" s="116"/>
      <c r="E75" s="117"/>
      <c r="F75" s="118"/>
      <c r="G75" s="118"/>
      <c r="H75" s="118"/>
      <c r="I75" s="119"/>
      <c r="K75" s="135" t="str">
        <f t="shared" si="11"/>
        <v>Relocation</v>
      </c>
      <c r="L75" s="136">
        <f t="shared" si="12"/>
        <v>0</v>
      </c>
      <c r="M75" s="190"/>
      <c r="N75" s="191"/>
      <c r="O75" s="191"/>
      <c r="P75" s="191"/>
      <c r="Q75" s="191"/>
      <c r="R75" s="191"/>
      <c r="S75" s="191"/>
      <c r="T75" s="192"/>
      <c r="U75" s="137">
        <f t="shared" si="13"/>
        <v>0</v>
      </c>
      <c r="V75" s="138">
        <f t="shared" si="0"/>
        <v>0</v>
      </c>
      <c r="Y75" s="172"/>
    </row>
    <row r="76" spans="2:25">
      <c r="B76" s="241"/>
      <c r="C76" s="123" t="s">
        <v>78</v>
      </c>
      <c r="D76" s="116"/>
      <c r="E76" s="117"/>
      <c r="F76" s="118"/>
      <c r="G76" s="118"/>
      <c r="H76" s="118"/>
      <c r="I76" s="119"/>
      <c r="K76" s="135" t="str">
        <f t="shared" si="11"/>
        <v>Property Management</v>
      </c>
      <c r="L76" s="136">
        <f t="shared" si="12"/>
        <v>0</v>
      </c>
      <c r="M76" s="190"/>
      <c r="N76" s="191"/>
      <c r="O76" s="191"/>
      <c r="P76" s="191"/>
      <c r="Q76" s="191"/>
      <c r="R76" s="191"/>
      <c r="S76" s="191"/>
      <c r="T76" s="192"/>
      <c r="U76" s="137">
        <f t="shared" si="13"/>
        <v>0</v>
      </c>
      <c r="V76" s="138">
        <f t="shared" si="0"/>
        <v>0</v>
      </c>
      <c r="Y76" s="172"/>
    </row>
    <row r="77" spans="2:25">
      <c r="B77" s="241"/>
      <c r="C77" s="123" t="s">
        <v>62</v>
      </c>
      <c r="D77" s="116"/>
      <c r="E77" s="117"/>
      <c r="F77" s="118"/>
      <c r="G77" s="118"/>
      <c r="H77" s="118"/>
      <c r="I77" s="119"/>
      <c r="K77" s="135" t="str">
        <f t="shared" si="11"/>
        <v>Other</v>
      </c>
      <c r="L77" s="136">
        <f t="shared" si="12"/>
        <v>0</v>
      </c>
      <c r="M77" s="190"/>
      <c r="N77" s="191"/>
      <c r="O77" s="191"/>
      <c r="P77" s="191"/>
      <c r="Q77" s="191"/>
      <c r="R77" s="191"/>
      <c r="S77" s="191"/>
      <c r="T77" s="192"/>
      <c r="U77" s="137">
        <f t="shared" si="13"/>
        <v>0</v>
      </c>
      <c r="V77" s="138">
        <f t="shared" si="0"/>
        <v>0</v>
      </c>
      <c r="Y77" s="172"/>
    </row>
    <row r="78" spans="2:25">
      <c r="B78" s="241"/>
      <c r="C78" s="123" t="str">
        <f>"Inflation adjust estimate to "&amp;H2</f>
        <v>Inflation adjust estimate to 1Q24</v>
      </c>
      <c r="D78" s="155">
        <f>IF(D26&gt;='Data Validation'!D3,0,IF(ISBLANK(D26),"Enter Year of Cost Data Above",ROUND((SUBTOTAL(9,D73:D77)*'Data Validation'!K10),2)))</f>
        <v>0</v>
      </c>
      <c r="E78" s="157" t="s">
        <v>79</v>
      </c>
      <c r="F78" s="243"/>
      <c r="G78" s="243"/>
      <c r="H78" s="243"/>
      <c r="I78" s="244"/>
      <c r="K78" s="135" t="str">
        <f t="shared" si="11"/>
        <v>Inflation adjust estimate to 1Q24</v>
      </c>
      <c r="L78" s="142">
        <f t="shared" si="12"/>
        <v>0</v>
      </c>
      <c r="M78" s="190"/>
      <c r="N78" s="191"/>
      <c r="O78" s="191"/>
      <c r="P78" s="191"/>
      <c r="Q78" s="191"/>
      <c r="R78" s="191"/>
      <c r="S78" s="191"/>
      <c r="T78" s="192"/>
      <c r="U78" s="137">
        <f t="shared" si="13"/>
        <v>0</v>
      </c>
      <c r="V78" s="138">
        <f t="shared" si="0"/>
        <v>0</v>
      </c>
      <c r="Y78" s="172"/>
    </row>
    <row r="79" spans="2:25">
      <c r="B79" s="241"/>
      <c r="C79" s="124" t="str">
        <f>"Escalation @ "&amp;TEXT('Cost Escalation'!D11*100,"0.00")&amp;"% per/Yr for "&amp;'PCW-Template'!E31&amp;" Year(s)"</f>
        <v>Escalation @ 5.00% per/Yr for 0 Year(s)</v>
      </c>
      <c r="D79" s="156">
        <f>ROUND((FV('Cost Escalation'!D11,E31,0,-SUM(D73:D78))-SUM(D73:D78)),2)</f>
        <v>0</v>
      </c>
      <c r="E79" s="159" t="str">
        <f>IF(D79=0,"Assumes No Escalation",("Assumes "&amp;D31&amp; " Acquisition"))</f>
        <v>Assumes No Escalation</v>
      </c>
      <c r="F79" s="243"/>
      <c r="G79" s="243"/>
      <c r="H79" s="243"/>
      <c r="I79" s="244"/>
      <c r="K79" s="135" t="str">
        <f t="shared" si="11"/>
        <v>Escalation @ 5.00% per/Yr for 0 Year(s)</v>
      </c>
      <c r="L79" s="143">
        <f t="shared" si="12"/>
        <v>0</v>
      </c>
      <c r="M79" s="190"/>
      <c r="N79" s="191"/>
      <c r="O79" s="191"/>
      <c r="P79" s="191"/>
      <c r="Q79" s="191"/>
      <c r="R79" s="191"/>
      <c r="S79" s="191"/>
      <c r="T79" s="192"/>
      <c r="U79" s="137">
        <f t="shared" si="13"/>
        <v>0</v>
      </c>
      <c r="V79" s="138">
        <f t="shared" si="0"/>
        <v>0</v>
      </c>
      <c r="Y79" s="172"/>
    </row>
    <row r="80" spans="2:25">
      <c r="B80" s="241"/>
      <c r="C80" s="123" t="s">
        <v>80</v>
      </c>
      <c r="D80" s="156">
        <f>ROUND(SUM(D73:D79)*E44,2)</f>
        <v>0</v>
      </c>
      <c r="E80" s="158"/>
      <c r="F80" s="243"/>
      <c r="G80" s="243"/>
      <c r="H80" s="243"/>
      <c r="I80" s="244"/>
      <c r="K80" s="135" t="str">
        <f t="shared" si="11"/>
        <v>Land/Right of Way Contingency</v>
      </c>
      <c r="L80" s="143">
        <f t="shared" si="12"/>
        <v>0</v>
      </c>
      <c r="M80" s="190"/>
      <c r="N80" s="191"/>
      <c r="O80" s="191"/>
      <c r="P80" s="191"/>
      <c r="Q80" s="191"/>
      <c r="R80" s="191"/>
      <c r="S80" s="191"/>
      <c r="T80" s="192"/>
      <c r="U80" s="137">
        <f>SUM(M80:T80)</f>
        <v>0</v>
      </c>
      <c r="V80" s="138">
        <f t="shared" si="0"/>
        <v>0</v>
      </c>
      <c r="W80" s="172"/>
      <c r="X80" s="172"/>
      <c r="Y80" s="172"/>
    </row>
    <row r="81" spans="2:25" s="189" customFormat="1" ht="15.6">
      <c r="B81" s="237" t="s">
        <v>81</v>
      </c>
      <c r="C81" s="238"/>
      <c r="D81" s="152">
        <f>SUM(D82:D93)</f>
        <v>141819.93</v>
      </c>
      <c r="E81" s="239"/>
      <c r="F81" s="238"/>
      <c r="G81" s="238"/>
      <c r="H81" s="238"/>
      <c r="I81" s="240"/>
      <c r="K81" s="141" t="str">
        <f>B81</f>
        <v>04 - Design</v>
      </c>
      <c r="L81" s="131">
        <f t="shared" si="2"/>
        <v>141819.93</v>
      </c>
      <c r="M81" s="132">
        <f t="shared" ref="M81:T81" si="14">SUBTOTAL(9,M82:M93)</f>
        <v>6356</v>
      </c>
      <c r="N81" s="133">
        <f t="shared" si="14"/>
        <v>64110</v>
      </c>
      <c r="O81" s="133">
        <f t="shared" si="14"/>
        <v>0</v>
      </c>
      <c r="P81" s="133">
        <f t="shared" si="14"/>
        <v>66156.600000000006</v>
      </c>
      <c r="Q81" s="133">
        <f t="shared" si="14"/>
        <v>0</v>
      </c>
      <c r="R81" s="133">
        <f t="shared" si="14"/>
        <v>0</v>
      </c>
      <c r="S81" s="133">
        <f t="shared" si="14"/>
        <v>0</v>
      </c>
      <c r="T81" s="134">
        <f t="shared" si="14"/>
        <v>0</v>
      </c>
      <c r="U81" s="131">
        <f t="shared" si="4"/>
        <v>136622.6</v>
      </c>
      <c r="V81" s="131">
        <f t="shared" si="0"/>
        <v>-5197.3299999999872</v>
      </c>
      <c r="Y81" s="193"/>
    </row>
    <row r="82" spans="2:25" s="167" customFormat="1">
      <c r="B82" s="241"/>
      <c r="C82" s="123" t="s">
        <v>82</v>
      </c>
      <c r="D82" s="116">
        <v>130266.6</v>
      </c>
      <c r="E82" s="117"/>
      <c r="F82" s="118"/>
      <c r="G82" s="118"/>
      <c r="H82" s="118"/>
      <c r="I82" s="119"/>
      <c r="K82" s="135" t="str">
        <f t="shared" ref="K82:K93" si="15">C82</f>
        <v>Design-General</v>
      </c>
      <c r="L82" s="136">
        <f t="shared" si="2"/>
        <v>130266.6</v>
      </c>
      <c r="M82" s="190">
        <v>6356</v>
      </c>
      <c r="N82" s="191">
        <f>61145+2965</f>
        <v>64110</v>
      </c>
      <c r="O82" s="191"/>
      <c r="P82" s="191">
        <v>66156.600000000006</v>
      </c>
      <c r="Q82" s="191"/>
      <c r="R82" s="191"/>
      <c r="S82" s="191"/>
      <c r="T82" s="192"/>
      <c r="U82" s="137">
        <f t="shared" si="4"/>
        <v>136622.6</v>
      </c>
      <c r="V82" s="138">
        <f t="shared" si="0"/>
        <v>6356</v>
      </c>
      <c r="Y82" s="194"/>
    </row>
    <row r="83" spans="2:25" s="167" customFormat="1">
      <c r="B83" s="241"/>
      <c r="C83" s="123" t="s">
        <v>83</v>
      </c>
      <c r="D83" s="116"/>
      <c r="E83" s="117"/>
      <c r="F83" s="118"/>
      <c r="G83" s="118"/>
      <c r="H83" s="118"/>
      <c r="I83" s="119"/>
      <c r="K83" s="135" t="str">
        <f t="shared" si="15"/>
        <v>Conceptual</v>
      </c>
      <c r="L83" s="136">
        <f t="shared" si="2"/>
        <v>0</v>
      </c>
      <c r="M83" s="190"/>
      <c r="N83" s="191"/>
      <c r="O83" s="191"/>
      <c r="P83" s="191"/>
      <c r="Q83" s="191"/>
      <c r="R83" s="191"/>
      <c r="S83" s="191"/>
      <c r="T83" s="192"/>
      <c r="U83" s="137">
        <f t="shared" si="4"/>
        <v>0</v>
      </c>
      <c r="V83" s="138">
        <f t="shared" si="0"/>
        <v>0</v>
      </c>
    </row>
    <row r="84" spans="2:25" s="167" customFormat="1">
      <c r="B84" s="241"/>
      <c r="C84" s="123" t="s">
        <v>84</v>
      </c>
      <c r="D84" s="116"/>
      <c r="E84" s="117"/>
      <c r="F84" s="118"/>
      <c r="G84" s="118"/>
      <c r="H84" s="118"/>
      <c r="I84" s="119"/>
      <c r="K84" s="135" t="str">
        <f t="shared" si="15"/>
        <v>Preliminary</v>
      </c>
      <c r="L84" s="136">
        <f t="shared" si="2"/>
        <v>0</v>
      </c>
      <c r="M84" s="190"/>
      <c r="N84" s="191"/>
      <c r="O84" s="191"/>
      <c r="P84" s="191"/>
      <c r="Q84" s="191"/>
      <c r="R84" s="191"/>
      <c r="S84" s="191"/>
      <c r="T84" s="192"/>
      <c r="U84" s="137">
        <f t="shared" si="4"/>
        <v>0</v>
      </c>
      <c r="V84" s="138">
        <f t="shared" si="0"/>
        <v>0</v>
      </c>
    </row>
    <row r="85" spans="2:25" s="167" customFormat="1">
      <c r="B85" s="241"/>
      <c r="C85" s="123" t="s">
        <v>85</v>
      </c>
      <c r="D85" s="116"/>
      <c r="E85" s="117"/>
      <c r="F85" s="118"/>
      <c r="G85" s="118"/>
      <c r="H85" s="118"/>
      <c r="I85" s="119"/>
      <c r="K85" s="135" t="str">
        <f t="shared" si="15"/>
        <v>Final</v>
      </c>
      <c r="L85" s="136">
        <f t="shared" si="2"/>
        <v>0</v>
      </c>
      <c r="M85" s="190"/>
      <c r="N85" s="191"/>
      <c r="O85" s="191"/>
      <c r="P85" s="191"/>
      <c r="Q85" s="191"/>
      <c r="R85" s="191"/>
      <c r="S85" s="191"/>
      <c r="T85" s="192"/>
      <c r="U85" s="137">
        <f t="shared" si="4"/>
        <v>0</v>
      </c>
      <c r="V85" s="138">
        <f t="shared" si="0"/>
        <v>0</v>
      </c>
    </row>
    <row r="86" spans="2:25" s="167" customFormat="1">
      <c r="B86" s="241"/>
      <c r="C86" s="123" t="s">
        <v>86</v>
      </c>
      <c r="D86" s="116">
        <v>11000</v>
      </c>
      <c r="E86" s="117" t="s">
        <v>358</v>
      </c>
      <c r="F86" s="118"/>
      <c r="G86" s="118"/>
      <c r="H86" s="118"/>
      <c r="I86" s="119"/>
      <c r="K86" s="135" t="str">
        <f t="shared" si="15"/>
        <v>Services During Construction</v>
      </c>
      <c r="L86" s="136">
        <f t="shared" si="2"/>
        <v>11000</v>
      </c>
      <c r="M86" s="190"/>
      <c r="N86" s="191"/>
      <c r="O86" s="191"/>
      <c r="P86" s="191"/>
      <c r="Q86" s="191"/>
      <c r="R86" s="191"/>
      <c r="S86" s="191"/>
      <c r="T86" s="192"/>
      <c r="U86" s="137">
        <f t="shared" si="4"/>
        <v>0</v>
      </c>
      <c r="V86" s="138">
        <f t="shared" ref="V86:V117" si="16">U86-L86</f>
        <v>-11000</v>
      </c>
    </row>
    <row r="87" spans="2:25">
      <c r="B87" s="241"/>
      <c r="C87" s="123" t="s">
        <v>87</v>
      </c>
      <c r="D87" s="116"/>
      <c r="E87" s="117"/>
      <c r="F87" s="118"/>
      <c r="G87" s="118"/>
      <c r="H87" s="118"/>
      <c r="I87" s="119"/>
      <c r="K87" s="135" t="str">
        <f t="shared" si="15"/>
        <v>Studies</v>
      </c>
      <c r="L87" s="136">
        <f t="shared" si="2"/>
        <v>0</v>
      </c>
      <c r="M87" s="190"/>
      <c r="N87" s="191"/>
      <c r="O87" s="191"/>
      <c r="P87" s="191"/>
      <c r="Q87" s="191"/>
      <c r="R87" s="191"/>
      <c r="S87" s="191"/>
      <c r="T87" s="192"/>
      <c r="U87" s="137">
        <f t="shared" si="4"/>
        <v>0</v>
      </c>
      <c r="V87" s="138">
        <f t="shared" si="16"/>
        <v>0</v>
      </c>
    </row>
    <row r="88" spans="2:25">
      <c r="B88" s="241"/>
      <c r="C88" s="123" t="s">
        <v>88</v>
      </c>
      <c r="D88" s="116"/>
      <c r="E88" s="117"/>
      <c r="F88" s="118"/>
      <c r="G88" s="118"/>
      <c r="H88" s="118"/>
      <c r="I88" s="119"/>
      <c r="K88" s="135" t="str">
        <f t="shared" si="15"/>
        <v>Survey</v>
      </c>
      <c r="L88" s="136">
        <f t="shared" si="2"/>
        <v>0</v>
      </c>
      <c r="M88" s="190"/>
      <c r="N88" s="191"/>
      <c r="O88" s="191"/>
      <c r="P88" s="191"/>
      <c r="Q88" s="191"/>
      <c r="R88" s="191"/>
      <c r="S88" s="191"/>
      <c r="T88" s="192"/>
      <c r="U88" s="137">
        <f t="shared" si="4"/>
        <v>0</v>
      </c>
      <c r="V88" s="138">
        <f t="shared" si="16"/>
        <v>0</v>
      </c>
    </row>
    <row r="89" spans="2:25">
      <c r="B89" s="241"/>
      <c r="C89" s="123" t="s">
        <v>89</v>
      </c>
      <c r="D89" s="116"/>
      <c r="E89" s="117"/>
      <c r="F89" s="118"/>
      <c r="G89" s="118"/>
      <c r="H89" s="118"/>
      <c r="I89" s="119"/>
      <c r="K89" s="135" t="str">
        <f t="shared" si="15"/>
        <v>Geotechnical</v>
      </c>
      <c r="L89" s="136">
        <f t="shared" si="2"/>
        <v>0</v>
      </c>
      <c r="M89" s="190"/>
      <c r="N89" s="191"/>
      <c r="O89" s="191"/>
      <c r="P89" s="191"/>
      <c r="Q89" s="191"/>
      <c r="R89" s="191"/>
      <c r="S89" s="191"/>
      <c r="T89" s="192"/>
      <c r="U89" s="137">
        <f t="shared" si="4"/>
        <v>0</v>
      </c>
      <c r="V89" s="138">
        <f t="shared" si="16"/>
        <v>0</v>
      </c>
    </row>
    <row r="90" spans="2:25">
      <c r="B90" s="241"/>
      <c r="C90" s="123" t="s">
        <v>62</v>
      </c>
      <c r="D90" s="116">
        <v>-6200</v>
      </c>
      <c r="E90" s="117" t="s">
        <v>357</v>
      </c>
      <c r="F90" s="118"/>
      <c r="G90" s="118"/>
      <c r="H90" s="118"/>
      <c r="I90" s="119"/>
      <c r="K90" s="135" t="str">
        <f t="shared" si="15"/>
        <v>Other</v>
      </c>
      <c r="L90" s="136">
        <f t="shared" si="2"/>
        <v>-6200</v>
      </c>
      <c r="M90" s="190"/>
      <c r="N90" s="191"/>
      <c r="O90" s="191"/>
      <c r="P90" s="191"/>
      <c r="Q90" s="191"/>
      <c r="R90" s="191"/>
      <c r="S90" s="191"/>
      <c r="T90" s="192"/>
      <c r="U90" s="137">
        <f t="shared" si="4"/>
        <v>0</v>
      </c>
      <c r="V90" s="138">
        <f t="shared" si="16"/>
        <v>6200</v>
      </c>
    </row>
    <row r="91" spans="2:25">
      <c r="B91" s="241"/>
      <c r="C91" s="123" t="str">
        <f>"Inflation adjust estimate to "&amp;H2</f>
        <v>Inflation adjust estimate to 1Q24</v>
      </c>
      <c r="D91" s="155">
        <f>IF(D26&gt;='Data Validation'!D3,0,IF(ISBLANK(D26),"Enter Year of Cost Data Above",ROUND((SUBTOTAL(9,D82:D90)*'Data Validation'!F10),2)))</f>
        <v>0</v>
      </c>
      <c r="E91" s="157" t="s">
        <v>63</v>
      </c>
      <c r="F91" s="243"/>
      <c r="G91" s="243"/>
      <c r="H91" s="243"/>
      <c r="I91" s="244"/>
      <c r="K91" s="135" t="str">
        <f t="shared" si="15"/>
        <v>Inflation adjust estimate to 1Q24</v>
      </c>
      <c r="L91" s="142">
        <f t="shared" si="2"/>
        <v>0</v>
      </c>
      <c r="M91" s="190"/>
      <c r="N91" s="191"/>
      <c r="O91" s="191"/>
      <c r="P91" s="191"/>
      <c r="Q91" s="191"/>
      <c r="R91" s="191"/>
      <c r="S91" s="191"/>
      <c r="T91" s="192"/>
      <c r="U91" s="137">
        <f t="shared" si="4"/>
        <v>0</v>
      </c>
      <c r="V91" s="138">
        <f t="shared" si="16"/>
        <v>0</v>
      </c>
    </row>
    <row r="92" spans="2:25">
      <c r="B92" s="241"/>
      <c r="C92" s="123" t="str">
        <f>"Escalation @ "&amp;TEXT('Cost Escalation'!D17*100,"0.00")&amp;"% per/Yr for "&amp;'PCW-Template'!E32&amp;" Year(s)"</f>
        <v>Escalation @ 5.00% per/Yr for 0 Year(s)</v>
      </c>
      <c r="D92" s="156">
        <f>ROUND((FV('Cost Escalation'!D14,E32,0,-SUM(D82:D91))-SUM(D82:D91)),2)</f>
        <v>0</v>
      </c>
      <c r="E92" s="157" t="str">
        <f>"Assumes "&amp;D32&amp; " Design"</f>
        <v>Assumes  Design</v>
      </c>
      <c r="F92" s="243"/>
      <c r="G92" s="243"/>
      <c r="H92" s="243"/>
      <c r="I92" s="244"/>
      <c r="K92" s="135" t="str">
        <f t="shared" si="15"/>
        <v>Escalation @ 5.00% per/Yr for 0 Year(s)</v>
      </c>
      <c r="L92" s="143">
        <f t="shared" si="2"/>
        <v>0</v>
      </c>
      <c r="M92" s="190"/>
      <c r="N92" s="191"/>
      <c r="O92" s="191"/>
      <c r="P92" s="191"/>
      <c r="Q92" s="191"/>
      <c r="R92" s="191"/>
      <c r="S92" s="191"/>
      <c r="T92" s="192"/>
      <c r="U92" s="137">
        <f t="shared" si="4"/>
        <v>0</v>
      </c>
      <c r="V92" s="138">
        <f t="shared" si="16"/>
        <v>0</v>
      </c>
    </row>
    <row r="93" spans="2:25">
      <c r="B93" s="241"/>
      <c r="C93" s="123" t="s">
        <v>90</v>
      </c>
      <c r="D93" s="156">
        <f>ROUND(SUM(D82:D92)*E45,2)</f>
        <v>6753.33</v>
      </c>
      <c r="E93" s="158"/>
      <c r="F93" s="243"/>
      <c r="G93" s="243"/>
      <c r="H93" s="243"/>
      <c r="I93" s="244"/>
      <c r="K93" s="135" t="str">
        <f t="shared" si="15"/>
        <v>Design Contingency</v>
      </c>
      <c r="L93" s="143">
        <f t="shared" si="2"/>
        <v>6753.33</v>
      </c>
      <c r="M93" s="190"/>
      <c r="N93" s="191"/>
      <c r="O93" s="191"/>
      <c r="P93" s="191"/>
      <c r="Q93" s="191"/>
      <c r="R93" s="191"/>
      <c r="S93" s="191"/>
      <c r="T93" s="192"/>
      <c r="U93" s="137">
        <f t="shared" si="4"/>
        <v>0</v>
      </c>
      <c r="V93" s="138">
        <f t="shared" si="16"/>
        <v>-6753.33</v>
      </c>
    </row>
    <row r="94" spans="2:25" s="189" customFormat="1" ht="15.6">
      <c r="B94" s="237" t="s">
        <v>91</v>
      </c>
      <c r="C94" s="238"/>
      <c r="D94" s="152">
        <f>SUM(D95:D100)</f>
        <v>0</v>
      </c>
      <c r="E94" s="239"/>
      <c r="F94" s="238"/>
      <c r="G94" s="238"/>
      <c r="H94" s="238"/>
      <c r="I94" s="240"/>
      <c r="K94" s="141" t="str">
        <f>B94</f>
        <v>05 - Environmental</v>
      </c>
      <c r="L94" s="131">
        <f t="shared" si="2"/>
        <v>0</v>
      </c>
      <c r="M94" s="132">
        <f t="shared" ref="M94:T94" si="17">SUBTOTAL(9,M95:M100)</f>
        <v>0</v>
      </c>
      <c r="N94" s="133">
        <f t="shared" si="17"/>
        <v>0</v>
      </c>
      <c r="O94" s="133">
        <f t="shared" si="17"/>
        <v>0</v>
      </c>
      <c r="P94" s="133">
        <f t="shared" si="17"/>
        <v>0</v>
      </c>
      <c r="Q94" s="133">
        <f t="shared" si="17"/>
        <v>0</v>
      </c>
      <c r="R94" s="133">
        <f t="shared" si="17"/>
        <v>0</v>
      </c>
      <c r="S94" s="133">
        <f t="shared" si="17"/>
        <v>0</v>
      </c>
      <c r="T94" s="134">
        <f t="shared" si="17"/>
        <v>0</v>
      </c>
      <c r="U94" s="131">
        <f t="shared" si="4"/>
        <v>0</v>
      </c>
      <c r="V94" s="131">
        <f t="shared" si="16"/>
        <v>0</v>
      </c>
    </row>
    <row r="95" spans="2:25">
      <c r="B95" s="241"/>
      <c r="C95" s="123" t="s">
        <v>92</v>
      </c>
      <c r="D95" s="116"/>
      <c r="E95" s="117"/>
      <c r="F95" s="118"/>
      <c r="G95" s="118"/>
      <c r="H95" s="118"/>
      <c r="I95" s="119"/>
      <c r="K95" s="135" t="str">
        <f t="shared" ref="K95:K100" si="18">C95</f>
        <v>Environmental-General</v>
      </c>
      <c r="L95" s="136">
        <f t="shared" si="2"/>
        <v>0</v>
      </c>
      <c r="M95" s="190"/>
      <c r="N95" s="191"/>
      <c r="O95" s="191"/>
      <c r="P95" s="191"/>
      <c r="Q95" s="191"/>
      <c r="R95" s="191"/>
      <c r="S95" s="191"/>
      <c r="T95" s="192"/>
      <c r="U95" s="137">
        <f t="shared" si="4"/>
        <v>0</v>
      </c>
      <c r="V95" s="138">
        <f t="shared" si="16"/>
        <v>0</v>
      </c>
    </row>
    <row r="96" spans="2:25">
      <c r="B96" s="241"/>
      <c r="C96" s="123" t="s">
        <v>87</v>
      </c>
      <c r="D96" s="116"/>
      <c r="E96" s="117"/>
      <c r="F96" s="118"/>
      <c r="G96" s="118"/>
      <c r="H96" s="118"/>
      <c r="I96" s="119"/>
      <c r="K96" s="135" t="str">
        <f t="shared" si="18"/>
        <v>Studies</v>
      </c>
      <c r="L96" s="136">
        <f t="shared" si="2"/>
        <v>0</v>
      </c>
      <c r="M96" s="190"/>
      <c r="N96" s="191"/>
      <c r="O96" s="191"/>
      <c r="P96" s="191"/>
      <c r="Q96" s="191"/>
      <c r="R96" s="191"/>
      <c r="S96" s="191"/>
      <c r="T96" s="192"/>
      <c r="U96" s="137">
        <f t="shared" si="4"/>
        <v>0</v>
      </c>
      <c r="V96" s="138">
        <f t="shared" si="16"/>
        <v>0</v>
      </c>
    </row>
    <row r="97" spans="2:22">
      <c r="B97" s="241"/>
      <c r="C97" s="123" t="s">
        <v>93</v>
      </c>
      <c r="D97" s="116"/>
      <c r="E97" s="117"/>
      <c r="F97" s="118"/>
      <c r="G97" s="118"/>
      <c r="H97" s="118"/>
      <c r="I97" s="119"/>
      <c r="K97" s="135" t="str">
        <f t="shared" si="18"/>
        <v>Remediation</v>
      </c>
      <c r="L97" s="136">
        <f t="shared" si="2"/>
        <v>0</v>
      </c>
      <c r="M97" s="190"/>
      <c r="N97" s="191"/>
      <c r="O97" s="191"/>
      <c r="P97" s="191"/>
      <c r="Q97" s="191"/>
      <c r="R97" s="191"/>
      <c r="S97" s="191"/>
      <c r="T97" s="192"/>
      <c r="U97" s="137">
        <f t="shared" si="4"/>
        <v>0</v>
      </c>
      <c r="V97" s="138">
        <f t="shared" si="16"/>
        <v>0</v>
      </c>
    </row>
    <row r="98" spans="2:22">
      <c r="B98" s="241"/>
      <c r="C98" s="123" t="s">
        <v>62</v>
      </c>
      <c r="D98" s="116"/>
      <c r="E98" s="117"/>
      <c r="F98" s="118"/>
      <c r="G98" s="118"/>
      <c r="H98" s="118"/>
      <c r="I98" s="119"/>
      <c r="K98" s="135" t="str">
        <f t="shared" si="18"/>
        <v>Other</v>
      </c>
      <c r="L98" s="136">
        <f t="shared" si="2"/>
        <v>0</v>
      </c>
      <c r="M98" s="190"/>
      <c r="N98" s="191"/>
      <c r="O98" s="191"/>
      <c r="P98" s="191"/>
      <c r="Q98" s="191"/>
      <c r="R98" s="191"/>
      <c r="S98" s="191"/>
      <c r="T98" s="192"/>
      <c r="U98" s="137">
        <f t="shared" si="4"/>
        <v>0</v>
      </c>
      <c r="V98" s="138">
        <f t="shared" si="16"/>
        <v>0</v>
      </c>
    </row>
    <row r="99" spans="2:22">
      <c r="B99" s="241"/>
      <c r="C99" s="123" t="str">
        <f>"Inflation adjust estimate to "&amp;H2</f>
        <v>Inflation adjust estimate to 1Q24</v>
      </c>
      <c r="D99" s="155">
        <f>IF(D26&gt;='Data Validation'!D3,0,IF(ISBLANK(D26),"Enter Year of Cost Data Above",ROUND((SUBTOTAL(9,D95:D98)*'Data Validation'!D10),2)))</f>
        <v>0</v>
      </c>
      <c r="E99" s="157" t="s">
        <v>63</v>
      </c>
      <c r="F99" s="243"/>
      <c r="G99" s="243"/>
      <c r="H99" s="243"/>
      <c r="I99" s="244"/>
      <c r="K99" s="135" t="str">
        <f t="shared" si="18"/>
        <v>Inflation adjust estimate to 1Q24</v>
      </c>
      <c r="L99" s="142">
        <f t="shared" si="2"/>
        <v>0</v>
      </c>
      <c r="M99" s="190"/>
      <c r="N99" s="191"/>
      <c r="O99" s="191"/>
      <c r="P99" s="191"/>
      <c r="Q99" s="191"/>
      <c r="R99" s="191"/>
      <c r="S99" s="191"/>
      <c r="T99" s="192"/>
      <c r="U99" s="137">
        <f t="shared" si="4"/>
        <v>0</v>
      </c>
      <c r="V99" s="138">
        <f t="shared" si="16"/>
        <v>0</v>
      </c>
    </row>
    <row r="100" spans="2:22">
      <c r="B100" s="241"/>
      <c r="C100" s="123" t="str">
        <f>"Escalation @ "&amp;TEXT('Cost Escalation'!D17*100,"0.00")&amp;"% per/Yr for "&amp;'PCW-Template'!E33&amp;" Year(s)"</f>
        <v>Escalation @ 5.00% per/Yr for 1 Year(s)</v>
      </c>
      <c r="D100" s="156">
        <f>ROUND((FV('Cost Escalation'!D14,E33,0,-SUM(D95:D99))-SUM(D95:D99)),2)</f>
        <v>0</v>
      </c>
      <c r="E100" s="158" t="str">
        <f>"Assumes "&amp;D33&amp; " Construction"</f>
        <v>Assumes 2025 Construction</v>
      </c>
      <c r="F100" s="243"/>
      <c r="G100" s="243"/>
      <c r="H100" s="243"/>
      <c r="I100" s="244"/>
      <c r="K100" s="135" t="str">
        <f t="shared" si="18"/>
        <v>Escalation @ 5.00% per/Yr for 1 Year(s)</v>
      </c>
      <c r="L100" s="143">
        <f t="shared" si="2"/>
        <v>0</v>
      </c>
      <c r="M100" s="190"/>
      <c r="N100" s="191"/>
      <c r="O100" s="191"/>
      <c r="P100" s="191"/>
      <c r="Q100" s="191"/>
      <c r="R100" s="191"/>
      <c r="S100" s="191"/>
      <c r="T100" s="192"/>
      <c r="U100" s="137">
        <f t="shared" si="4"/>
        <v>0</v>
      </c>
      <c r="V100" s="138">
        <f t="shared" si="16"/>
        <v>0</v>
      </c>
    </row>
    <row r="101" spans="2:22" s="189" customFormat="1" ht="15.6">
      <c r="B101" s="237" t="s">
        <v>94</v>
      </c>
      <c r="C101" s="238"/>
      <c r="D101" s="152">
        <f>SUM(D102:D110)</f>
        <v>282051</v>
      </c>
      <c r="E101" s="239"/>
      <c r="F101" s="238"/>
      <c r="G101" s="238"/>
      <c r="H101" s="238"/>
      <c r="I101" s="240"/>
      <c r="K101" s="141" t="str">
        <f>B101</f>
        <v>06 - Construction</v>
      </c>
      <c r="L101" s="131">
        <f t="shared" si="2"/>
        <v>282051</v>
      </c>
      <c r="M101" s="132">
        <f t="shared" ref="M101:T101" si="19">SUBTOTAL(9,M102:M110)</f>
        <v>243644</v>
      </c>
      <c r="N101" s="133">
        <f t="shared" si="19"/>
        <v>145890</v>
      </c>
      <c r="O101" s="133">
        <f t="shared" si="19"/>
        <v>3000</v>
      </c>
      <c r="P101" s="133">
        <f t="shared" si="19"/>
        <v>0</v>
      </c>
      <c r="Q101" s="133">
        <f t="shared" si="19"/>
        <v>0</v>
      </c>
      <c r="R101" s="133">
        <f t="shared" si="19"/>
        <v>0</v>
      </c>
      <c r="S101" s="133">
        <f t="shared" si="19"/>
        <v>0</v>
      </c>
      <c r="T101" s="134">
        <f t="shared" si="19"/>
        <v>0</v>
      </c>
      <c r="U101" s="131">
        <f t="shared" si="4"/>
        <v>392534</v>
      </c>
      <c r="V101" s="131">
        <f t="shared" si="16"/>
        <v>110483</v>
      </c>
    </row>
    <row r="102" spans="2:22">
      <c r="B102" s="241"/>
      <c r="C102" s="123" t="s">
        <v>95</v>
      </c>
      <c r="D102" s="116">
        <f>283600-2800-36600</f>
        <v>244200</v>
      </c>
      <c r="E102" s="117" t="s">
        <v>355</v>
      </c>
      <c r="F102" s="118"/>
      <c r="G102" s="118"/>
      <c r="H102" s="118"/>
      <c r="I102" s="119"/>
      <c r="K102" s="135" t="str">
        <f t="shared" ref="K102:K110" si="20">C102</f>
        <v>Construction-General</v>
      </c>
      <c r="L102" s="136">
        <f t="shared" si="2"/>
        <v>244200</v>
      </c>
      <c r="M102" s="190">
        <f>250000-6356</f>
        <v>243644</v>
      </c>
      <c r="N102" s="191">
        <f>210000-N82</f>
        <v>145890</v>
      </c>
      <c r="O102" s="191">
        <v>3000</v>
      </c>
      <c r="P102" s="191"/>
      <c r="Q102" s="191"/>
      <c r="R102" s="191"/>
      <c r="S102" s="191"/>
      <c r="T102" s="192"/>
      <c r="U102" s="137">
        <f t="shared" si="4"/>
        <v>392534</v>
      </c>
      <c r="V102" s="138">
        <f t="shared" si="16"/>
        <v>148334</v>
      </c>
    </row>
    <row r="103" spans="2:22">
      <c r="B103" s="241"/>
      <c r="C103" s="123" t="s">
        <v>96</v>
      </c>
      <c r="D103" s="116"/>
      <c r="E103" s="117"/>
      <c r="F103" s="118"/>
      <c r="G103" s="118"/>
      <c r="H103" s="118"/>
      <c r="I103" s="119"/>
      <c r="K103" s="135" t="str">
        <f t="shared" si="20"/>
        <v>Pre-Construction</v>
      </c>
      <c r="L103" s="136">
        <f t="shared" si="2"/>
        <v>0</v>
      </c>
      <c r="M103" s="190"/>
      <c r="N103" s="191"/>
      <c r="O103" s="191"/>
      <c r="P103" s="191"/>
      <c r="Q103" s="191"/>
      <c r="R103" s="191"/>
      <c r="S103" s="191"/>
      <c r="T103" s="192"/>
      <c r="U103" s="137">
        <f t="shared" si="4"/>
        <v>0</v>
      </c>
      <c r="V103" s="138">
        <f t="shared" si="16"/>
        <v>0</v>
      </c>
    </row>
    <row r="104" spans="2:22">
      <c r="B104" s="241"/>
      <c r="C104" s="123" t="s">
        <v>97</v>
      </c>
      <c r="D104" s="116"/>
      <c r="E104" s="117"/>
      <c r="F104" s="118"/>
      <c r="G104" s="118"/>
      <c r="H104" s="118"/>
      <c r="I104" s="119"/>
      <c r="K104" s="135" t="str">
        <f t="shared" si="20"/>
        <v>Staff / General Conditions</v>
      </c>
      <c r="L104" s="136">
        <f t="shared" si="2"/>
        <v>0</v>
      </c>
      <c r="M104" s="190"/>
      <c r="N104" s="191"/>
      <c r="O104" s="191"/>
      <c r="P104" s="191"/>
      <c r="Q104" s="191"/>
      <c r="R104" s="191"/>
      <c r="S104" s="191"/>
      <c r="T104" s="192"/>
      <c r="U104" s="137">
        <f t="shared" si="4"/>
        <v>0</v>
      </c>
      <c r="V104" s="138">
        <f t="shared" si="16"/>
        <v>0</v>
      </c>
    </row>
    <row r="105" spans="2:22" ht="17.100000000000001" customHeight="1">
      <c r="B105" s="241"/>
      <c r="C105" s="123" t="s">
        <v>98</v>
      </c>
      <c r="D105" s="116"/>
      <c r="E105" s="117"/>
      <c r="F105" s="118"/>
      <c r="G105" s="118"/>
      <c r="H105" s="118"/>
      <c r="I105" s="119"/>
      <c r="K105" s="135" t="str">
        <f t="shared" si="20"/>
        <v>Construction</v>
      </c>
      <c r="L105" s="136">
        <f t="shared" si="2"/>
        <v>0</v>
      </c>
      <c r="M105" s="190"/>
      <c r="N105" s="191"/>
      <c r="O105" s="191"/>
      <c r="P105" s="191"/>
      <c r="Q105" s="191"/>
      <c r="R105" s="191"/>
      <c r="S105" s="191"/>
      <c r="T105" s="192"/>
      <c r="U105" s="137">
        <f t="shared" si="4"/>
        <v>0</v>
      </c>
      <c r="V105" s="138">
        <f t="shared" si="16"/>
        <v>0</v>
      </c>
    </row>
    <row r="106" spans="2:22" ht="17.100000000000001" customHeight="1">
      <c r="B106" s="241"/>
      <c r="C106" s="290" t="s">
        <v>99</v>
      </c>
      <c r="D106" s="116"/>
      <c r="E106" s="117"/>
      <c r="F106" s="118"/>
      <c r="G106" s="118"/>
      <c r="H106" s="118"/>
      <c r="I106" s="119"/>
      <c r="K106" s="135"/>
      <c r="L106" s="136"/>
      <c r="M106" s="190"/>
      <c r="N106" s="191"/>
      <c r="O106" s="191"/>
      <c r="P106" s="191"/>
      <c r="Q106" s="191"/>
      <c r="R106" s="191"/>
      <c r="S106" s="191"/>
      <c r="T106" s="192"/>
      <c r="U106" s="137"/>
      <c r="V106" s="138"/>
    </row>
    <row r="107" spans="2:22">
      <c r="B107" s="241"/>
      <c r="C107" s="123" t="s">
        <v>62</v>
      </c>
      <c r="D107" s="116"/>
      <c r="E107" s="117"/>
      <c r="F107" s="118"/>
      <c r="G107" s="118"/>
      <c r="H107" s="118"/>
      <c r="I107" s="119"/>
      <c r="K107" s="135" t="str">
        <f t="shared" si="20"/>
        <v>Other</v>
      </c>
      <c r="L107" s="136">
        <f t="shared" si="2"/>
        <v>0</v>
      </c>
      <c r="M107" s="190"/>
      <c r="N107" s="191"/>
      <c r="O107" s="191"/>
      <c r="P107" s="191"/>
      <c r="Q107" s="191"/>
      <c r="R107" s="191"/>
      <c r="S107" s="191"/>
      <c r="T107" s="192"/>
      <c r="U107" s="137">
        <f t="shared" si="4"/>
        <v>0</v>
      </c>
      <c r="V107" s="138">
        <f t="shared" si="16"/>
        <v>0</v>
      </c>
    </row>
    <row r="108" spans="2:22">
      <c r="B108" s="241"/>
      <c r="C108" s="123" t="str">
        <f>"Inflation adjust estimate to "&amp;H2</f>
        <v>Inflation adjust estimate to 1Q24</v>
      </c>
      <c r="D108" s="155">
        <f>IF(D26&gt;='Data Validation'!D3,0,IF(ISBLANK(D26),"Enter Year of Cost Data Above",ROUND((SUBTOTAL(9,D102:D107)*'Data Validation'!D10),2)))</f>
        <v>0</v>
      </c>
      <c r="E108" s="157" t="s">
        <v>63</v>
      </c>
      <c r="F108" s="243"/>
      <c r="G108" s="243"/>
      <c r="H108" s="243"/>
      <c r="I108" s="244"/>
      <c r="K108" s="135" t="str">
        <f t="shared" si="20"/>
        <v>Inflation adjust estimate to 1Q24</v>
      </c>
      <c r="L108" s="142">
        <f t="shared" si="2"/>
        <v>0</v>
      </c>
      <c r="M108" s="190"/>
      <c r="N108" s="191"/>
      <c r="O108" s="191"/>
      <c r="P108" s="191"/>
      <c r="Q108" s="191"/>
      <c r="R108" s="191"/>
      <c r="S108" s="191"/>
      <c r="T108" s="192"/>
      <c r="U108" s="137">
        <f t="shared" si="4"/>
        <v>0</v>
      </c>
      <c r="V108" s="138">
        <f t="shared" si="16"/>
        <v>0</v>
      </c>
    </row>
    <row r="109" spans="2:22">
      <c r="B109" s="241"/>
      <c r="C109" s="123" t="str">
        <f>"Escalation @ "&amp;TEXT('Cost Escalation'!D17*100,"0.00")&amp;"% per/Yr for "&amp;'PCW-Template'!E33&amp;" Year(s)"</f>
        <v>Escalation @ 5.00% per/Yr for 1 Year(s)</v>
      </c>
      <c r="D109" s="156">
        <f>ROUND((FV('Cost Escalation'!D14,E33,0,-SUM(D102:D108))-SUM(D102:D108)),2)</f>
        <v>12210</v>
      </c>
      <c r="E109" s="157" t="str">
        <f>"Assumes "&amp;D33&amp; " Construction"</f>
        <v>Assumes 2025 Construction</v>
      </c>
      <c r="F109" s="243"/>
      <c r="G109" s="243"/>
      <c r="H109" s="243"/>
      <c r="I109" s="244"/>
      <c r="K109" s="135" t="str">
        <f t="shared" si="20"/>
        <v>Escalation @ 5.00% per/Yr for 1 Year(s)</v>
      </c>
      <c r="L109" s="143">
        <f t="shared" si="2"/>
        <v>12210</v>
      </c>
      <c r="M109" s="190"/>
      <c r="N109" s="191"/>
      <c r="O109" s="191"/>
      <c r="P109" s="191"/>
      <c r="Q109" s="191"/>
      <c r="R109" s="191"/>
      <c r="S109" s="191"/>
      <c r="T109" s="192"/>
      <c r="U109" s="137">
        <f t="shared" si="4"/>
        <v>0</v>
      </c>
      <c r="V109" s="138">
        <f t="shared" si="16"/>
        <v>-12210</v>
      </c>
    </row>
    <row r="110" spans="2:22">
      <c r="B110" s="241"/>
      <c r="C110" s="123" t="s">
        <v>100</v>
      </c>
      <c r="D110" s="156">
        <f>ROUND(SUM(D102:D109)*E46,2)</f>
        <v>25641</v>
      </c>
      <c r="E110" s="158"/>
      <c r="F110" s="243"/>
      <c r="G110" s="243"/>
      <c r="H110" s="243"/>
      <c r="I110" s="244"/>
      <c r="K110" s="135" t="str">
        <f t="shared" si="20"/>
        <v>Construction Contingency</v>
      </c>
      <c r="L110" s="143">
        <f t="shared" si="2"/>
        <v>25641</v>
      </c>
      <c r="M110" s="190"/>
      <c r="N110" s="191"/>
      <c r="O110" s="191"/>
      <c r="P110" s="191"/>
      <c r="Q110" s="191"/>
      <c r="R110" s="191"/>
      <c r="S110" s="191"/>
      <c r="T110" s="192"/>
      <c r="U110" s="137">
        <f t="shared" si="4"/>
        <v>0</v>
      </c>
      <c r="V110" s="138">
        <f t="shared" si="16"/>
        <v>-25641</v>
      </c>
    </row>
    <row r="111" spans="2:22" s="189" customFormat="1" ht="15.6">
      <c r="B111" s="237" t="s">
        <v>101</v>
      </c>
      <c r="C111" s="238"/>
      <c r="D111" s="152">
        <f>SUM(D112:D125)</f>
        <v>3234</v>
      </c>
      <c r="E111" s="239"/>
      <c r="F111" s="238"/>
      <c r="G111" s="238"/>
      <c r="H111" s="238"/>
      <c r="I111" s="240"/>
      <c r="K111" s="141" t="str">
        <f>B111</f>
        <v>07 - Construction-Related</v>
      </c>
      <c r="L111" s="131">
        <f t="shared" si="2"/>
        <v>3234</v>
      </c>
      <c r="M111" s="132">
        <f t="shared" ref="M111:T111" si="21">SUBTOTAL(9,M112:M125)</f>
        <v>0</v>
      </c>
      <c r="N111" s="133">
        <f t="shared" si="21"/>
        <v>0</v>
      </c>
      <c r="O111" s="133">
        <f t="shared" si="21"/>
        <v>0</v>
      </c>
      <c r="P111" s="133">
        <f t="shared" si="21"/>
        <v>0</v>
      </c>
      <c r="Q111" s="133">
        <f t="shared" si="21"/>
        <v>0</v>
      </c>
      <c r="R111" s="133">
        <f t="shared" si="21"/>
        <v>0</v>
      </c>
      <c r="S111" s="133">
        <f t="shared" si="21"/>
        <v>0</v>
      </c>
      <c r="T111" s="134">
        <f t="shared" si="21"/>
        <v>0</v>
      </c>
      <c r="U111" s="131">
        <f t="shared" si="4"/>
        <v>0</v>
      </c>
      <c r="V111" s="131">
        <f t="shared" si="16"/>
        <v>-3234</v>
      </c>
    </row>
    <row r="112" spans="2:22">
      <c r="B112" s="241"/>
      <c r="C112" s="123" t="s">
        <v>102</v>
      </c>
      <c r="D112" s="116"/>
      <c r="E112" s="117"/>
      <c r="F112" s="118"/>
      <c r="G112" s="118"/>
      <c r="H112" s="118"/>
      <c r="I112" s="119"/>
      <c r="K112" s="135" t="str">
        <f t="shared" ref="K112:K125" si="22">C112</f>
        <v>Construction-Related-General</v>
      </c>
      <c r="L112" s="136">
        <f t="shared" si="2"/>
        <v>0</v>
      </c>
      <c r="M112" s="190"/>
      <c r="N112" s="191"/>
      <c r="O112" s="191"/>
      <c r="P112" s="191"/>
      <c r="Q112" s="191"/>
      <c r="R112" s="191"/>
      <c r="S112" s="191"/>
      <c r="T112" s="192"/>
      <c r="U112" s="137">
        <f t="shared" si="4"/>
        <v>0</v>
      </c>
      <c r="V112" s="138">
        <f t="shared" si="16"/>
        <v>0</v>
      </c>
    </row>
    <row r="113" spans="2:26">
      <c r="B113" s="241"/>
      <c r="C113" s="123" t="s">
        <v>103</v>
      </c>
      <c r="D113" s="116">
        <v>2800</v>
      </c>
      <c r="E113" s="117" t="s">
        <v>345</v>
      </c>
      <c r="F113" s="118"/>
      <c r="G113" s="118"/>
      <c r="H113" s="118"/>
      <c r="I113" s="119"/>
      <c r="K113" s="135" t="str">
        <f t="shared" si="22"/>
        <v>Permits/Fees</v>
      </c>
      <c r="L113" s="136">
        <f t="shared" si="2"/>
        <v>2800</v>
      </c>
      <c r="M113" s="190"/>
      <c r="N113" s="191"/>
      <c r="O113" s="191"/>
      <c r="P113" s="191"/>
      <c r="Q113" s="191"/>
      <c r="R113" s="191"/>
      <c r="S113" s="191"/>
      <c r="T113" s="192"/>
      <c r="U113" s="137">
        <f t="shared" si="4"/>
        <v>0</v>
      </c>
      <c r="V113" s="138">
        <f t="shared" si="16"/>
        <v>-2800</v>
      </c>
    </row>
    <row r="114" spans="2:26">
      <c r="B114" s="241"/>
      <c r="C114" s="123" t="s">
        <v>104</v>
      </c>
      <c r="D114" s="116"/>
      <c r="E114" s="117"/>
      <c r="F114" s="118"/>
      <c r="G114" s="118"/>
      <c r="H114" s="118"/>
      <c r="I114" s="119"/>
      <c r="K114" s="135" t="str">
        <f t="shared" si="22"/>
        <v>Utilities</v>
      </c>
      <c r="L114" s="136">
        <f t="shared" si="2"/>
        <v>0</v>
      </c>
      <c r="M114" s="190"/>
      <c r="N114" s="191"/>
      <c r="O114" s="191"/>
      <c r="P114" s="191"/>
      <c r="Q114" s="191"/>
      <c r="R114" s="191"/>
      <c r="S114" s="191"/>
      <c r="T114" s="192"/>
      <c r="U114" s="137">
        <f t="shared" si="4"/>
        <v>0</v>
      </c>
      <c r="V114" s="138">
        <f t="shared" si="16"/>
        <v>0</v>
      </c>
    </row>
    <row r="115" spans="2:26">
      <c r="B115" s="241"/>
      <c r="C115" s="123" t="s">
        <v>105</v>
      </c>
      <c r="D115" s="116"/>
      <c r="E115" s="117"/>
      <c r="F115" s="118"/>
      <c r="G115" s="118"/>
      <c r="H115" s="118"/>
      <c r="I115" s="119"/>
      <c r="K115" s="135" t="str">
        <f t="shared" si="22"/>
        <v>Construction Survey</v>
      </c>
      <c r="L115" s="136">
        <f t="shared" si="2"/>
        <v>0</v>
      </c>
      <c r="M115" s="190"/>
      <c r="N115" s="191"/>
      <c r="O115" s="191"/>
      <c r="P115" s="191"/>
      <c r="Q115" s="191"/>
      <c r="R115" s="191"/>
      <c r="S115" s="191"/>
      <c r="T115" s="192"/>
      <c r="U115" s="137">
        <f t="shared" si="4"/>
        <v>0</v>
      </c>
      <c r="V115" s="138">
        <f t="shared" si="16"/>
        <v>0</v>
      </c>
    </row>
    <row r="116" spans="2:26">
      <c r="B116" s="241"/>
      <c r="C116" s="313" t="s">
        <v>106</v>
      </c>
      <c r="D116" s="317"/>
      <c r="E116" s="117"/>
      <c r="F116" s="118"/>
      <c r="G116" s="118"/>
      <c r="H116" s="118"/>
      <c r="I116" s="119"/>
      <c r="K116" s="135" t="str">
        <f t="shared" si="22"/>
        <v>Waste Disposal (DADS)</v>
      </c>
      <c r="L116" s="136">
        <f t="shared" si="2"/>
        <v>0</v>
      </c>
      <c r="M116" s="190"/>
      <c r="N116" s="191"/>
      <c r="O116" s="191"/>
      <c r="P116" s="191"/>
      <c r="Q116" s="191"/>
      <c r="R116" s="191"/>
      <c r="S116" s="191"/>
      <c r="T116" s="192"/>
      <c r="U116" s="137">
        <f t="shared" si="4"/>
        <v>0</v>
      </c>
      <c r="V116" s="138">
        <f t="shared" si="16"/>
        <v>0</v>
      </c>
    </row>
    <row r="117" spans="2:26">
      <c r="B117" s="241"/>
      <c r="C117" s="123" t="s">
        <v>107</v>
      </c>
      <c r="D117" s="116"/>
      <c r="E117" s="117"/>
      <c r="F117" s="118"/>
      <c r="G117" s="118"/>
      <c r="H117" s="118"/>
      <c r="I117" s="119"/>
      <c r="K117" s="135" t="str">
        <f t="shared" si="22"/>
        <v>Materials Testing / Inspections</v>
      </c>
      <c r="L117" s="136">
        <f t="shared" si="2"/>
        <v>0</v>
      </c>
      <c r="M117" s="190"/>
      <c r="N117" s="191"/>
      <c r="O117" s="191"/>
      <c r="P117" s="191"/>
      <c r="Q117" s="191"/>
      <c r="R117" s="191"/>
      <c r="S117" s="191"/>
      <c r="T117" s="192"/>
      <c r="U117" s="137">
        <f t="shared" si="4"/>
        <v>0</v>
      </c>
      <c r="V117" s="138">
        <f t="shared" si="16"/>
        <v>0</v>
      </c>
    </row>
    <row r="118" spans="2:26">
      <c r="B118" s="241"/>
      <c r="C118" s="123" t="s">
        <v>108</v>
      </c>
      <c r="D118" s="116"/>
      <c r="E118" s="117"/>
      <c r="F118" s="118"/>
      <c r="G118" s="118"/>
      <c r="H118" s="118"/>
      <c r="I118" s="119"/>
      <c r="K118" s="135" t="str">
        <f t="shared" si="22"/>
        <v>Commissioning</v>
      </c>
      <c r="L118" s="136">
        <f t="shared" si="2"/>
        <v>0</v>
      </c>
      <c r="M118" s="190"/>
      <c r="N118" s="191"/>
      <c r="O118" s="191"/>
      <c r="P118" s="191"/>
      <c r="Q118" s="191"/>
      <c r="R118" s="191"/>
      <c r="S118" s="191"/>
      <c r="T118" s="192"/>
      <c r="U118" s="137">
        <f t="shared" si="4"/>
        <v>0</v>
      </c>
      <c r="V118" s="138">
        <f t="shared" ref="V118:V134" si="23">U118-L118</f>
        <v>0</v>
      </c>
    </row>
    <row r="119" spans="2:26">
      <c r="B119" s="241"/>
      <c r="C119" s="123" t="s">
        <v>109</v>
      </c>
      <c r="D119" s="116"/>
      <c r="E119" s="117"/>
      <c r="F119" s="118"/>
      <c r="G119" s="118"/>
      <c r="H119" s="118"/>
      <c r="I119" s="119"/>
      <c r="K119" s="135" t="str">
        <f t="shared" si="22"/>
        <v>Demolition</v>
      </c>
      <c r="L119" s="136">
        <f t="shared" si="2"/>
        <v>0</v>
      </c>
      <c r="M119" s="190"/>
      <c r="N119" s="191"/>
      <c r="O119" s="191"/>
      <c r="P119" s="191"/>
      <c r="Q119" s="191"/>
      <c r="R119" s="191"/>
      <c r="S119" s="191"/>
      <c r="T119" s="192"/>
      <c r="U119" s="137">
        <f t="shared" si="4"/>
        <v>0</v>
      </c>
      <c r="V119" s="138">
        <f t="shared" si="23"/>
        <v>0</v>
      </c>
    </row>
    <row r="120" spans="2:26">
      <c r="B120" s="241"/>
      <c r="C120" s="123" t="s">
        <v>110</v>
      </c>
      <c r="D120" s="116"/>
      <c r="E120" s="117"/>
      <c r="F120" s="118"/>
      <c r="G120" s="118"/>
      <c r="H120" s="118"/>
      <c r="I120" s="119"/>
      <c r="K120" s="135" t="str">
        <f t="shared" si="22"/>
        <v>Construction Administration</v>
      </c>
      <c r="L120" s="136">
        <f t="shared" ref="L120:L134" si="24">D120</f>
        <v>0</v>
      </c>
      <c r="M120" s="190"/>
      <c r="N120" s="191"/>
      <c r="O120" s="191"/>
      <c r="P120" s="191"/>
      <c r="Q120" s="191"/>
      <c r="R120" s="191"/>
      <c r="S120" s="191"/>
      <c r="T120" s="192"/>
      <c r="U120" s="137">
        <f t="shared" ref="U120:U134" si="25">SUM(M120:T120)</f>
        <v>0</v>
      </c>
      <c r="V120" s="138">
        <f t="shared" si="23"/>
        <v>0</v>
      </c>
    </row>
    <row r="121" spans="2:26">
      <c r="B121" s="241"/>
      <c r="C121" s="123" t="s">
        <v>111</v>
      </c>
      <c r="D121" s="116"/>
      <c r="E121" s="117"/>
      <c r="F121" s="118"/>
      <c r="G121" s="118"/>
      <c r="H121" s="118"/>
      <c r="I121" s="119"/>
      <c r="K121" s="135" t="str">
        <f t="shared" si="22"/>
        <v>Water Quality</v>
      </c>
      <c r="L121" s="136">
        <f t="shared" si="24"/>
        <v>0</v>
      </c>
      <c r="M121" s="190"/>
      <c r="N121" s="191"/>
      <c r="O121" s="191"/>
      <c r="P121" s="191"/>
      <c r="Q121" s="191"/>
      <c r="R121" s="191"/>
      <c r="S121" s="191"/>
      <c r="T121" s="192"/>
      <c r="U121" s="137">
        <f t="shared" si="25"/>
        <v>0</v>
      </c>
      <c r="V121" s="138">
        <f t="shared" si="23"/>
        <v>0</v>
      </c>
    </row>
    <row r="122" spans="2:26">
      <c r="B122" s="241"/>
      <c r="C122" s="123" t="s">
        <v>62</v>
      </c>
      <c r="D122" s="116"/>
      <c r="E122" s="117"/>
      <c r="F122" s="118"/>
      <c r="G122" s="118"/>
      <c r="H122" s="118"/>
      <c r="I122" s="119"/>
      <c r="K122" s="135" t="str">
        <f t="shared" si="22"/>
        <v>Other</v>
      </c>
      <c r="L122" s="136">
        <f t="shared" si="24"/>
        <v>0</v>
      </c>
      <c r="M122" s="190"/>
      <c r="N122" s="191"/>
      <c r="O122" s="191"/>
      <c r="P122" s="191"/>
      <c r="Q122" s="191"/>
      <c r="R122" s="191"/>
      <c r="S122" s="191"/>
      <c r="T122" s="192"/>
      <c r="U122" s="137">
        <f t="shared" si="25"/>
        <v>0</v>
      </c>
      <c r="V122" s="138">
        <f t="shared" si="23"/>
        <v>0</v>
      </c>
    </row>
    <row r="123" spans="2:26">
      <c r="B123" s="241"/>
      <c r="C123" s="123" t="str">
        <f>"Inflation adjust estimate to "&amp;H2</f>
        <v>Inflation adjust estimate to 1Q24</v>
      </c>
      <c r="D123" s="155">
        <f>IF(D26&gt;='Data Validation'!D3,0,IF(ISBLANK(D26),"Enter Year of Cost Data Above",ROUND((SUBTOTAL(9,D112:D122)*'Data Validation'!D10),2)))</f>
        <v>0</v>
      </c>
      <c r="E123" s="157" t="s">
        <v>63</v>
      </c>
      <c r="F123" s="243"/>
      <c r="G123" s="243"/>
      <c r="H123" s="243"/>
      <c r="I123" s="244"/>
      <c r="K123" s="135" t="str">
        <f t="shared" si="22"/>
        <v>Inflation adjust estimate to 1Q24</v>
      </c>
      <c r="L123" s="142">
        <f t="shared" si="24"/>
        <v>0</v>
      </c>
      <c r="M123" s="190"/>
      <c r="N123" s="191"/>
      <c r="O123" s="191"/>
      <c r="P123" s="191"/>
      <c r="Q123" s="191"/>
      <c r="R123" s="191"/>
      <c r="S123" s="191"/>
      <c r="T123" s="192"/>
      <c r="U123" s="137">
        <f t="shared" si="25"/>
        <v>0</v>
      </c>
      <c r="V123" s="138">
        <f t="shared" si="23"/>
        <v>0</v>
      </c>
    </row>
    <row r="124" spans="2:26">
      <c r="B124" s="241"/>
      <c r="C124" s="123" t="str">
        <f>"Escalation @ "&amp;TEXT('Cost Escalation'!D17*100,"0.00")&amp;"% per/Yr for "&amp;'PCW-Template'!E33&amp;" Year(s)"</f>
        <v>Escalation @ 5.00% per/Yr for 1 Year(s)</v>
      </c>
      <c r="D124" s="156">
        <f>ROUND((FV('Cost Escalation'!D14,E33,0,-SUM(D112:D123))-SUM(D112:D123)),2)</f>
        <v>140</v>
      </c>
      <c r="E124" s="157" t="str">
        <f>"Assumes "&amp;D33&amp; " Construction"</f>
        <v>Assumes 2025 Construction</v>
      </c>
      <c r="F124" s="243"/>
      <c r="G124" s="243"/>
      <c r="H124" s="243"/>
      <c r="I124" s="244"/>
      <c r="K124" s="135" t="str">
        <f t="shared" si="22"/>
        <v>Escalation @ 5.00% per/Yr for 1 Year(s)</v>
      </c>
      <c r="L124" s="143">
        <f t="shared" si="24"/>
        <v>140</v>
      </c>
      <c r="M124" s="190"/>
      <c r="N124" s="191"/>
      <c r="O124" s="191"/>
      <c r="P124" s="191"/>
      <c r="Q124" s="191"/>
      <c r="R124" s="191"/>
      <c r="S124" s="191"/>
      <c r="T124" s="192"/>
      <c r="U124" s="137">
        <f t="shared" si="25"/>
        <v>0</v>
      </c>
      <c r="V124" s="138">
        <f t="shared" si="23"/>
        <v>-140</v>
      </c>
    </row>
    <row r="125" spans="2:26">
      <c r="B125" s="241"/>
      <c r="C125" s="123" t="s">
        <v>112</v>
      </c>
      <c r="D125" s="156">
        <f>ROUND(SUM(D112:D124)*E47,2)</f>
        <v>294</v>
      </c>
      <c r="E125" s="158"/>
      <c r="F125" s="243"/>
      <c r="G125" s="243"/>
      <c r="H125" s="243"/>
      <c r="I125" s="244"/>
      <c r="K125" s="135" t="str">
        <f t="shared" si="22"/>
        <v>Construction-Related Contingency</v>
      </c>
      <c r="L125" s="143">
        <f t="shared" si="24"/>
        <v>294</v>
      </c>
      <c r="M125" s="190"/>
      <c r="N125" s="191"/>
      <c r="O125" s="191"/>
      <c r="P125" s="191"/>
      <c r="Q125" s="191"/>
      <c r="R125" s="191"/>
      <c r="S125" s="191"/>
      <c r="T125" s="192"/>
      <c r="U125" s="137">
        <f t="shared" si="25"/>
        <v>0</v>
      </c>
      <c r="V125" s="138">
        <f t="shared" si="23"/>
        <v>-294</v>
      </c>
    </row>
    <row r="126" spans="2:26" s="189" customFormat="1" ht="15.6">
      <c r="B126" s="237" t="s">
        <v>113</v>
      </c>
      <c r="C126" s="238"/>
      <c r="D126" s="152">
        <f>SUM(D127:D132)</f>
        <v>0</v>
      </c>
      <c r="E126" s="239"/>
      <c r="F126" s="238"/>
      <c r="G126" s="238"/>
      <c r="H126" s="238"/>
      <c r="I126" s="240"/>
      <c r="K126" s="141" t="str">
        <f>B126</f>
        <v>08 - Furniture, Fixtures &amp; Equipment (FF&amp;E)</v>
      </c>
      <c r="L126" s="131">
        <f>D126</f>
        <v>0</v>
      </c>
      <c r="M126" s="132">
        <f>SUBTOTAL(9,M127:M132)</f>
        <v>0</v>
      </c>
      <c r="N126" s="133">
        <f t="shared" ref="N126:T126" si="26">SUBTOTAL(9,N127:N132)</f>
        <v>0</v>
      </c>
      <c r="O126" s="133">
        <f t="shared" si="26"/>
        <v>0</v>
      </c>
      <c r="P126" s="133">
        <f t="shared" si="26"/>
        <v>0</v>
      </c>
      <c r="Q126" s="133">
        <f t="shared" si="26"/>
        <v>0</v>
      </c>
      <c r="R126" s="133">
        <f t="shared" si="26"/>
        <v>0</v>
      </c>
      <c r="S126" s="133">
        <f t="shared" si="26"/>
        <v>0</v>
      </c>
      <c r="T126" s="134">
        <f t="shared" si="26"/>
        <v>0</v>
      </c>
      <c r="U126" s="131">
        <f>SUM(M126:T126)</f>
        <v>0</v>
      </c>
      <c r="V126" s="131">
        <f>U126-L126</f>
        <v>0</v>
      </c>
    </row>
    <row r="127" spans="2:26">
      <c r="B127" s="241"/>
      <c r="C127" s="123" t="s">
        <v>114</v>
      </c>
      <c r="D127" s="116"/>
      <c r="E127" s="117"/>
      <c r="F127" s="118"/>
      <c r="G127" s="118"/>
      <c r="H127" s="118"/>
      <c r="I127" s="119"/>
      <c r="K127" s="135" t="str">
        <f t="shared" ref="K127:K132" si="27">C127</f>
        <v>FF&amp;E-General</v>
      </c>
      <c r="L127" s="136">
        <f t="shared" si="24"/>
        <v>0</v>
      </c>
      <c r="M127" s="190"/>
      <c r="N127" s="191"/>
      <c r="O127" s="191"/>
      <c r="P127" s="191"/>
      <c r="Q127" s="191"/>
      <c r="R127" s="191"/>
      <c r="S127" s="191"/>
      <c r="T127" s="192"/>
      <c r="U127" s="137">
        <f>SUM(M127:T127)</f>
        <v>0</v>
      </c>
      <c r="V127" s="138">
        <f>U127-L127</f>
        <v>0</v>
      </c>
    </row>
    <row r="128" spans="2:26">
      <c r="B128" s="241"/>
      <c r="C128" s="123" t="s">
        <v>115</v>
      </c>
      <c r="D128" s="116"/>
      <c r="E128" s="117"/>
      <c r="F128" s="118"/>
      <c r="G128" s="118"/>
      <c r="H128" s="118"/>
      <c r="I128" s="119"/>
      <c r="K128" s="135" t="str">
        <f t="shared" si="27"/>
        <v>FF&amp;E</v>
      </c>
      <c r="L128" s="136">
        <f t="shared" si="24"/>
        <v>0</v>
      </c>
      <c r="M128" s="190"/>
      <c r="N128" s="191"/>
      <c r="O128" s="191"/>
      <c r="P128" s="191"/>
      <c r="Q128" s="191"/>
      <c r="R128" s="191"/>
      <c r="S128" s="191"/>
      <c r="T128" s="192"/>
      <c r="U128" s="137">
        <f t="shared" si="25"/>
        <v>0</v>
      </c>
      <c r="V128" s="138">
        <f>U128-L128</f>
        <v>0</v>
      </c>
      <c r="Z128" s="195"/>
    </row>
    <row r="129" spans="2:22">
      <c r="B129" s="241"/>
      <c r="C129" s="123" t="s">
        <v>116</v>
      </c>
      <c r="D129" s="116"/>
      <c r="E129" s="117"/>
      <c r="F129" s="118"/>
      <c r="G129" s="118"/>
      <c r="H129" s="118"/>
      <c r="I129" s="119"/>
      <c r="K129" s="135" t="str">
        <f t="shared" si="27"/>
        <v>Technology</v>
      </c>
      <c r="L129" s="136">
        <f t="shared" si="24"/>
        <v>0</v>
      </c>
      <c r="M129" s="190"/>
      <c r="N129" s="191"/>
      <c r="O129" s="191"/>
      <c r="P129" s="191"/>
      <c r="Q129" s="191"/>
      <c r="R129" s="191"/>
      <c r="S129" s="191"/>
      <c r="T129" s="192"/>
      <c r="U129" s="137">
        <f t="shared" si="25"/>
        <v>0</v>
      </c>
      <c r="V129" s="138">
        <f t="shared" si="23"/>
        <v>0</v>
      </c>
    </row>
    <row r="130" spans="2:22">
      <c r="B130" s="241"/>
      <c r="C130" s="123" t="s">
        <v>62</v>
      </c>
      <c r="D130" s="116"/>
      <c r="E130" s="117"/>
      <c r="F130" s="118"/>
      <c r="G130" s="118"/>
      <c r="H130" s="118"/>
      <c r="I130" s="119"/>
      <c r="K130" s="135" t="str">
        <f t="shared" si="27"/>
        <v>Other</v>
      </c>
      <c r="L130" s="136">
        <f t="shared" si="24"/>
        <v>0</v>
      </c>
      <c r="M130" s="190"/>
      <c r="N130" s="191"/>
      <c r="O130" s="191"/>
      <c r="P130" s="191"/>
      <c r="Q130" s="191"/>
      <c r="R130" s="191"/>
      <c r="S130" s="191"/>
      <c r="T130" s="192"/>
      <c r="U130" s="137">
        <f t="shared" si="25"/>
        <v>0</v>
      </c>
      <c r="V130" s="138">
        <f t="shared" si="23"/>
        <v>0</v>
      </c>
    </row>
    <row r="131" spans="2:22">
      <c r="B131" s="241"/>
      <c r="C131" s="123" t="str">
        <f>"Inflation adjust estimate to "&amp;H2</f>
        <v>Inflation adjust estimate to 1Q24</v>
      </c>
      <c r="D131" s="155">
        <f>IF(D26&gt;='Data Validation'!D3,0,IF(ISBLANK(D26),"Enter Year of Cost Data Above",ROUND((SUBTOTAL(9,D127:D130)*'Data Validation'!D10),2)))</f>
        <v>0</v>
      </c>
      <c r="E131" s="157" t="s">
        <v>63</v>
      </c>
      <c r="F131" s="243"/>
      <c r="G131" s="243"/>
      <c r="H131" s="243"/>
      <c r="I131" s="244"/>
      <c r="K131" s="135" t="str">
        <f t="shared" si="27"/>
        <v>Inflation adjust estimate to 1Q24</v>
      </c>
      <c r="L131" s="142">
        <f t="shared" si="24"/>
        <v>0</v>
      </c>
      <c r="M131" s="190"/>
      <c r="N131" s="191"/>
      <c r="O131" s="191"/>
      <c r="P131" s="191"/>
      <c r="Q131" s="191"/>
      <c r="R131" s="191"/>
      <c r="S131" s="191"/>
      <c r="T131" s="192"/>
      <c r="U131" s="137">
        <f t="shared" si="25"/>
        <v>0</v>
      </c>
      <c r="V131" s="138">
        <f t="shared" si="23"/>
        <v>0</v>
      </c>
    </row>
    <row r="132" spans="2:22">
      <c r="B132" s="241"/>
      <c r="C132" s="123" t="str">
        <f>"Escalation @ "&amp;TEXT('Cost Escalation'!D17*100,"0.00")&amp;"% per/Yr for "&amp;'PCW-Template'!E33&amp;" Year(s)"</f>
        <v>Escalation @ 5.00% per/Yr for 1 Year(s)</v>
      </c>
      <c r="D132" s="156">
        <f>ROUND((FV('Cost Escalation'!D14,E33,0,-SUM(D127:D131))-SUM(D127:D131)),2)</f>
        <v>0</v>
      </c>
      <c r="E132" s="157" t="str">
        <f>"Assumes "&amp;D33&amp; " Construction"</f>
        <v>Assumes 2025 Construction</v>
      </c>
      <c r="F132" s="243"/>
      <c r="G132" s="243"/>
      <c r="H132" s="243"/>
      <c r="I132" s="244"/>
      <c r="K132" s="135" t="str">
        <f t="shared" si="27"/>
        <v>Escalation @ 5.00% per/Yr for 1 Year(s)</v>
      </c>
      <c r="L132" s="143">
        <f t="shared" si="24"/>
        <v>0</v>
      </c>
      <c r="M132" s="190"/>
      <c r="N132" s="191"/>
      <c r="O132" s="191"/>
      <c r="P132" s="191"/>
      <c r="Q132" s="191"/>
      <c r="R132" s="191"/>
      <c r="S132" s="191"/>
      <c r="T132" s="192"/>
      <c r="U132" s="137">
        <f t="shared" si="25"/>
        <v>0</v>
      </c>
      <c r="V132" s="138">
        <f t="shared" si="23"/>
        <v>0</v>
      </c>
    </row>
    <row r="133" spans="2:22" s="189" customFormat="1" ht="29.25" customHeight="1">
      <c r="B133" s="237" t="s">
        <v>117</v>
      </c>
      <c r="C133" s="238"/>
      <c r="D133" s="152">
        <f>IF(G44="NO", 0,ROUND(IF(SUM(D53,D62,D81,D94,D101,D111,D126,D134)&gt;=1000000,(SUM(D53,D94,D101,D111,D134)*0.01)),2))</f>
        <v>0</v>
      </c>
      <c r="E133" s="239" t="s">
        <v>118</v>
      </c>
      <c r="F133" s="238"/>
      <c r="G133" s="238"/>
      <c r="H133" s="238"/>
      <c r="I133" s="240"/>
      <c r="J133" s="193"/>
      <c r="K133" s="141" t="str">
        <f>B133</f>
        <v>09 - Public Art</v>
      </c>
      <c r="L133" s="131">
        <f t="shared" si="24"/>
        <v>0</v>
      </c>
      <c r="M133" s="196"/>
      <c r="N133" s="197"/>
      <c r="O133" s="197"/>
      <c r="P133" s="197"/>
      <c r="Q133" s="197"/>
      <c r="R133" s="197"/>
      <c r="S133" s="197"/>
      <c r="T133" s="198"/>
      <c r="U133" s="131">
        <f>SUM(M133:T133)</f>
        <v>0</v>
      </c>
      <c r="V133" s="131">
        <f t="shared" si="23"/>
        <v>0</v>
      </c>
    </row>
    <row r="134" spans="2:22" s="189" customFormat="1" ht="16.2" thickBot="1">
      <c r="B134" s="237" t="s">
        <v>119</v>
      </c>
      <c r="C134" s="238"/>
      <c r="D134" s="152">
        <f>ROUND(SUM(D53,D62,D94,D101,D111,D126)*E48,2)</f>
        <v>14707.4</v>
      </c>
      <c r="E134" s="239" t="s">
        <v>120</v>
      </c>
      <c r="F134" s="238"/>
      <c r="G134" s="238"/>
      <c r="H134" s="238"/>
      <c r="I134" s="240"/>
      <c r="J134" s="193"/>
      <c r="K134" s="141" t="str">
        <f>B134</f>
        <v>00 - Contingency</v>
      </c>
      <c r="L134" s="144">
        <f t="shared" si="24"/>
        <v>14707.4</v>
      </c>
      <c r="M134" s="199"/>
      <c r="N134" s="200"/>
      <c r="O134" s="200"/>
      <c r="P134" s="200"/>
      <c r="Q134" s="200"/>
      <c r="R134" s="200"/>
      <c r="S134" s="200"/>
      <c r="T134" s="201"/>
      <c r="U134" s="144">
        <f t="shared" si="25"/>
        <v>0</v>
      </c>
      <c r="V134" s="144">
        <f t="shared" si="23"/>
        <v>-14707.4</v>
      </c>
    </row>
    <row r="135" spans="2:22" s="189" customFormat="1" ht="16.8" thickTop="1" thickBot="1">
      <c r="B135" s="237"/>
      <c r="C135" s="311" t="s">
        <v>121</v>
      </c>
      <c r="D135" s="152">
        <f>(D53+D62+D72+D81+D94+D101+D111+D126+D133)-(D80+D93+D110+D125)</f>
        <v>403279.64999999997</v>
      </c>
      <c r="E135" s="239"/>
      <c r="F135" s="238"/>
      <c r="G135" s="238"/>
      <c r="H135" s="238"/>
      <c r="I135" s="240"/>
      <c r="J135" s="193"/>
      <c r="K135" s="141"/>
      <c r="L135" s="144"/>
      <c r="M135" s="199"/>
      <c r="N135" s="200"/>
      <c r="O135" s="200"/>
      <c r="P135" s="200"/>
      <c r="Q135" s="200"/>
      <c r="R135" s="200"/>
      <c r="S135" s="200"/>
      <c r="T135" s="201"/>
      <c r="U135" s="144"/>
      <c r="V135" s="144"/>
    </row>
    <row r="136" spans="2:22" s="189" customFormat="1" ht="16.8" thickTop="1" thickBot="1">
      <c r="B136" s="237"/>
      <c r="C136" s="311" t="s">
        <v>122</v>
      </c>
      <c r="D136" s="152">
        <f>(D80+D93+D110+D125+D134)</f>
        <v>47395.73</v>
      </c>
      <c r="E136" s="239"/>
      <c r="F136" s="238"/>
      <c r="G136" s="238"/>
      <c r="H136" s="238"/>
      <c r="I136" s="240"/>
      <c r="J136" s="193"/>
      <c r="K136" s="141"/>
      <c r="L136" s="144"/>
      <c r="M136" s="199"/>
      <c r="N136" s="200"/>
      <c r="O136" s="200"/>
      <c r="P136" s="200"/>
      <c r="Q136" s="200"/>
      <c r="R136" s="200"/>
      <c r="S136" s="200"/>
      <c r="T136" s="201"/>
      <c r="U136" s="144"/>
      <c r="V136" s="144"/>
    </row>
    <row r="137" spans="2:22" ht="16.8" thickTop="1" thickBot="1">
      <c r="B137" s="294"/>
      <c r="C137" s="309" t="s">
        <v>123</v>
      </c>
      <c r="D137" s="116">
        <v>-422</v>
      </c>
      <c r="E137" s="117" t="s">
        <v>356</v>
      </c>
      <c r="F137" s="118"/>
      <c r="G137" s="118"/>
      <c r="H137" s="118"/>
      <c r="I137" s="119"/>
      <c r="J137" s="172"/>
      <c r="K137" s="295" t="str">
        <f>C137</f>
        <v>Manual Adjustment for Contingency</v>
      </c>
      <c r="L137" s="144">
        <f t="shared" ref="L137" si="28">D137</f>
        <v>-422</v>
      </c>
      <c r="M137" s="199"/>
      <c r="N137" s="200"/>
      <c r="O137" s="200"/>
      <c r="P137" s="200"/>
      <c r="Q137" s="200"/>
      <c r="R137" s="200"/>
      <c r="S137" s="200"/>
      <c r="T137" s="201"/>
      <c r="U137" s="144">
        <f t="shared" ref="U137" si="29">SUM(M137:T137)</f>
        <v>0</v>
      </c>
      <c r="V137" s="144">
        <f t="shared" ref="V137" si="30">U137-L137</f>
        <v>422</v>
      </c>
    </row>
    <row r="138" spans="2:22" ht="15" thickTop="1">
      <c r="B138" s="248"/>
      <c r="C138" s="248"/>
      <c r="D138" s="120"/>
      <c r="J138" s="172"/>
    </row>
    <row r="139" spans="2:22">
      <c r="B139" s="248" t="s">
        <v>124</v>
      </c>
      <c r="C139" s="248"/>
      <c r="D139" s="161">
        <f>D52</f>
        <v>450300</v>
      </c>
    </row>
    <row r="140" spans="2:22">
      <c r="B140" s="248" t="s">
        <v>125</v>
      </c>
      <c r="C140" s="248"/>
      <c r="D140" s="116">
        <f>U52</f>
        <v>529156.6</v>
      </c>
      <c r="E140" s="121"/>
      <c r="F140" s="118"/>
      <c r="G140" s="118"/>
      <c r="H140" s="118"/>
      <c r="I140" s="119"/>
    </row>
    <row r="141" spans="2:22" ht="15" thickBot="1">
      <c r="B141" s="248"/>
      <c r="C141" s="248"/>
    </row>
    <row r="142" spans="2:22" s="115" customFormat="1" ht="16.2" thickBot="1">
      <c r="B142" s="249" t="s">
        <v>126</v>
      </c>
      <c r="C142" s="250"/>
      <c r="D142" s="162">
        <f>D139-D140</f>
        <v>-78856.599999999977</v>
      </c>
    </row>
    <row r="143" spans="2:22">
      <c r="B143" s="248"/>
      <c r="C143" s="248"/>
    </row>
    <row r="144" spans="2:22">
      <c r="B144" s="248"/>
      <c r="C144" s="248"/>
    </row>
    <row r="145" spans="2:3">
      <c r="B145" s="248" t="s">
        <v>127</v>
      </c>
      <c r="C145" s="248"/>
    </row>
  </sheetData>
  <sheetProtection algorithmName="SHA-512" hashValue="guhg/BH/3/75849g9HLy/h6bHwSGUavnpyEIMy3iJiCsjbHb71bnTkgI0JxFQnzDeTJ27JPICYa2AAg6imv0og==" saltValue="xnM0gXJqUiZIQKhw5r7FoA==" spinCount="100000" sheet="1" formatCells="0"/>
  <protectedRanges>
    <protectedRange algorithmName="SHA-512" hashValue="5sk3HHcroffCR/7yiBysTFoq1E2WTl8ETvSshwPUOmj8BPeoFUVVYv+p/HRSD68Rb+yGukN5LlBLCskDQAcdcA==" saltValue="D7Yi20faWgHXQye+zjIKaw==" spinCount="100000" sqref="D135:D136" name="Range6"/>
    <protectedRange algorithmName="SHA-512" hashValue="FB5O2jGDVANsy/MPrsSsem3G437FvZ3Jtndkbzi6EsXgXJ8XZ7X9W9MKz1KnMKDtGlYdMOgeikGTd8LT741b1Q==" saltValue="wIIhKJ7b+bzO6l9RrzDNBQ==" spinCount="100000" sqref="C135:C136" name="Locked Cells_4"/>
    <protectedRange algorithmName="SHA-512" hashValue="FB5O2jGDVANsy/MPrsSsem3G437FvZ3Jtndkbzi6EsXgXJ8XZ7X9W9MKz1KnMKDtGlYdMOgeikGTd8LT741b1Q==" saltValue="wIIhKJ7b+bzO6l9RrzDNBQ==" spinCount="100000" sqref="B137:C137" name="Locked Cells_3"/>
    <protectedRange algorithmName="SHA-512" hashValue="FB5O2jGDVANsy/MPrsSsem3G437FvZ3Jtndkbzi6EsXgXJ8XZ7X9W9MKz1KnMKDtGlYdMOgeikGTd8LT741b1Q==" saltValue="wIIhKJ7b+bzO6l9RrzDNBQ==" spinCount="100000" sqref="C66:C68" name="Locked Cells_2"/>
    <protectedRange algorithmName="SHA-512" hashValue="FB5O2jGDVANsy/MPrsSsem3G437FvZ3Jtndkbzi6EsXgXJ8XZ7X9W9MKz1KnMKDtGlYdMOgeikGTd8LT741b1Q==" saltValue="wIIhKJ7b+bzO6l9RrzDNBQ==" spinCount="100000" sqref="C106" name="Locked Cells_1"/>
    <protectedRange algorithmName="SHA-512" hashValue="FB5O2jGDVANsy/MPrsSsem3G437FvZ3Jtndkbzi6EsXgXJ8XZ7X9W9MKz1KnMKDtGlYdMOgeikGTd8LT741b1Q==" saltValue="wIIhKJ7b+bzO6l9RrzDNBQ==" spinCount="100000" sqref="D20 E31:E33 E44:E48 D60:I62 D70:I72 D78:I81 D91:I94 D99:I101 D123:I126 D131:I136 D139 D142 C143:XFD1048576 B148:B1048576 B109:C134 A109:A1048576 D108:I111 A1:C65 D52:D53 A107:C108 A106:B106 A69:C105 A66:B68 B138:B146 C138:C1048576 J1:XFD1048576 B135:B136" name="Locked Cells"/>
  </protectedRanges>
  <mergeCells count="5">
    <mergeCell ref="D24:F24"/>
    <mergeCell ref="G46:I48"/>
    <mergeCell ref="D14:G16"/>
    <mergeCell ref="D10:G12"/>
    <mergeCell ref="G39:I41"/>
  </mergeCells>
  <conditionalFormatting sqref="G37">
    <cfRule type="cellIs" dxfId="1" priority="1" operator="equal">
      <formula>"NO"</formula>
    </cfRule>
  </conditionalFormatting>
  <conditionalFormatting sqref="G44">
    <cfRule type="cellIs" dxfId="0" priority="2" operator="equal">
      <formula>"NO"</formula>
    </cfRule>
  </conditionalFormatting>
  <dataValidations count="1">
    <dataValidation type="whole" allowBlank="1" showErrorMessage="1" errorTitle="Cost Data Warning" error="Cost Data Year needs to be greater than or equal to 2014 and less than or equal to &quot;Year of Form&quot;" promptTitle="Cost Data Warning" prompt="Cost Data Year needs to be less than or equal to &quot;Year of Form&quot;" sqref="D26" xr:uid="{00000000-0002-0000-0100-000000000000}">
      <formula1>2014</formula1>
      <formula2>D20</formula2>
    </dataValidation>
  </dataValidations>
  <pageMargins left="0.25" right="0.25" top="0.75" bottom="0.75" header="0.3" footer="0.3"/>
  <pageSetup scale="54" fitToHeight="0" orientation="portrait" r:id="rId1"/>
  <rowBreaks count="1" manualBreakCount="1">
    <brk id="71" max="9" man="1"/>
  </rowBreaks>
  <ignoredErrors>
    <ignoredError sqref="E31:E33 E44:E48 D53 D60:D62 D71:D72 D78:D81 D92:D94 D99:D101 D110:D111 D123:D126 D131 D108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xr:uid="{00000000-0002-0000-0100-000001000000}">
          <x14:formula1>
            <xm:f>'Data Validation'!$B$15:$B$16</xm:f>
          </x14:formula1>
          <xm:sqref>D44:D48</xm:sqref>
        </x14:dataValidation>
        <x14:dataValidation type="whole" operator="greaterThanOrEqual" allowBlank="1" showInputMessage="1" showErrorMessage="1" error="Year must be greater than or equal to &quot;Year of Form&quot;" xr:uid="{00000000-0002-0000-0100-000002000000}">
          <x14:formula1>
            <xm:f>'Data Validation'!$D$3</xm:f>
          </x14:formula1>
          <xm:sqref>D31:D33</xm:sqref>
        </x14:dataValidation>
        <x14:dataValidation type="list" allowBlank="1" showInputMessage="1" showErrorMessage="1" xr:uid="{00000000-0002-0000-0100-000003000000}">
          <x14:formula1>
            <xm:f>'Data Validation'!$B$20:$B$21</xm:f>
          </x14:formula1>
          <xm:sqref>G44 G37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B2:M18"/>
  <sheetViews>
    <sheetView workbookViewId="0">
      <selection activeCell="B6" sqref="B6"/>
    </sheetView>
  </sheetViews>
  <sheetFormatPr defaultColWidth="9.109375" defaultRowHeight="13.2"/>
  <cols>
    <col min="1" max="1" width="9.109375" style="1"/>
    <col min="2" max="2" width="29.109375" style="1" bestFit="1" customWidth="1"/>
    <col min="3" max="3" width="13.44140625" style="1" customWidth="1"/>
    <col min="4" max="4" width="9.109375" style="1"/>
    <col min="5" max="5" width="12.44140625" style="1" customWidth="1"/>
    <col min="6" max="6" width="22.88671875" style="1" customWidth="1"/>
    <col min="7" max="9" width="9.109375" style="1"/>
    <col min="10" max="10" width="27" style="1" customWidth="1"/>
    <col min="11" max="11" width="9.109375" style="1"/>
    <col min="12" max="12" width="11.44140625" style="1" customWidth="1"/>
    <col min="13" max="13" width="26.88671875" style="1" customWidth="1"/>
    <col min="14" max="16384" width="9.109375" style="1"/>
  </cols>
  <sheetData>
    <row r="2" spans="2:13" ht="22.5" customHeight="1">
      <c r="B2" s="1" t="s">
        <v>128</v>
      </c>
      <c r="C2" s="8" t="s">
        <v>129</v>
      </c>
      <c r="D2" s="339" t="s">
        <v>130</v>
      </c>
      <c r="E2" s="340"/>
      <c r="F2" s="340"/>
      <c r="G2" s="340"/>
      <c r="H2" s="340"/>
    </row>
    <row r="3" spans="2:13" ht="22.5" customHeight="1">
      <c r="B3" s="1" t="s">
        <v>131</v>
      </c>
      <c r="C3" s="8">
        <v>2024</v>
      </c>
      <c r="D3" s="339"/>
      <c r="E3" s="340"/>
      <c r="F3" s="340"/>
      <c r="G3" s="340"/>
      <c r="H3" s="340"/>
    </row>
    <row r="4" spans="2:13" ht="22.5" customHeight="1">
      <c r="B4" s="1" t="s">
        <v>132</v>
      </c>
      <c r="C4" s="8">
        <v>2024</v>
      </c>
      <c r="D4" s="339"/>
      <c r="E4" s="340"/>
      <c r="F4" s="340"/>
      <c r="G4" s="340"/>
      <c r="H4" s="340"/>
    </row>
    <row r="5" spans="2:13" ht="14.4">
      <c r="C5" s="7" t="str">
        <f>C3&amp;C2</f>
        <v>2024Q1</v>
      </c>
      <c r="D5" s="2" t="s">
        <v>133</v>
      </c>
    </row>
    <row r="7" spans="2:13">
      <c r="B7" s="3" t="s">
        <v>134</v>
      </c>
      <c r="D7" s="5"/>
      <c r="E7" s="4"/>
      <c r="F7" s="4"/>
      <c r="G7" s="4"/>
      <c r="H7" s="4"/>
      <c r="I7" s="4"/>
      <c r="J7" s="4"/>
      <c r="K7" s="4"/>
    </row>
    <row r="8" spans="2:13">
      <c r="C8" s="1" t="s">
        <v>135</v>
      </c>
      <c r="D8" s="5"/>
      <c r="E8" s="4"/>
      <c r="F8" s="4"/>
      <c r="G8" s="4"/>
      <c r="H8" s="4"/>
      <c r="I8" s="4"/>
      <c r="J8" s="4"/>
      <c r="K8" s="4"/>
    </row>
    <row r="9" spans="2:13">
      <c r="C9" s="208"/>
      <c r="D9" s="5"/>
      <c r="E9" s="4"/>
      <c r="F9" s="4"/>
      <c r="G9" s="4"/>
      <c r="H9" s="4"/>
      <c r="I9" s="4"/>
      <c r="J9" s="4"/>
      <c r="K9" s="4"/>
    </row>
    <row r="10" spans="2:13">
      <c r="E10" s="4"/>
      <c r="F10" s="4"/>
      <c r="G10" s="4"/>
      <c r="H10" s="4"/>
      <c r="I10" s="4"/>
      <c r="J10" s="4"/>
      <c r="K10" s="4"/>
    </row>
    <row r="11" spans="2:13" ht="39.6">
      <c r="C11" s="6" t="s">
        <v>136</v>
      </c>
      <c r="D11" s="268">
        <v>0.05</v>
      </c>
      <c r="E11" s="27"/>
      <c r="F11" s="4"/>
      <c r="G11" s="4"/>
      <c r="H11" s="4"/>
      <c r="I11" s="4"/>
      <c r="J11" s="4"/>
      <c r="K11" s="4"/>
    </row>
    <row r="12" spans="2:13">
      <c r="E12" s="4"/>
      <c r="F12" s="4"/>
      <c r="G12" s="4"/>
      <c r="H12" s="4"/>
      <c r="I12" s="4"/>
      <c r="J12" s="4"/>
      <c r="K12" s="4"/>
    </row>
    <row r="13" spans="2:13">
      <c r="B13" s="3" t="s">
        <v>137</v>
      </c>
      <c r="D13" s="5"/>
      <c r="E13" s="4"/>
      <c r="F13" s="4"/>
      <c r="G13" s="4"/>
      <c r="H13" s="4"/>
      <c r="I13" s="4"/>
      <c r="J13" s="4"/>
      <c r="K13" s="4"/>
    </row>
    <row r="14" spans="2:13" ht="39.6">
      <c r="C14" s="6" t="s">
        <v>136</v>
      </c>
      <c r="D14" s="206">
        <f>D17</f>
        <v>0.05</v>
      </c>
      <c r="E14" s="207" t="s">
        <v>138</v>
      </c>
      <c r="F14" s="4"/>
      <c r="G14" s="4"/>
      <c r="H14" s="4"/>
      <c r="I14" s="4"/>
      <c r="J14" s="4"/>
      <c r="K14" s="4"/>
    </row>
    <row r="15" spans="2:13">
      <c r="D15" s="5"/>
      <c r="E15" s="4"/>
      <c r="F15" s="4"/>
      <c r="G15" s="4"/>
      <c r="H15" s="4"/>
      <c r="I15" s="4"/>
      <c r="J15" s="4"/>
      <c r="K15" s="4"/>
    </row>
    <row r="16" spans="2:13">
      <c r="B16" s="3" t="s">
        <v>139</v>
      </c>
      <c r="J16" s="305"/>
      <c r="K16" s="306"/>
      <c r="L16" s="307"/>
      <c r="M16" s="304"/>
    </row>
    <row r="17" spans="3:11" ht="26.4">
      <c r="C17" s="6" t="s">
        <v>140</v>
      </c>
      <c r="D17" s="206">
        <v>0.05</v>
      </c>
      <c r="E17" s="207" t="s">
        <v>138</v>
      </c>
    </row>
    <row r="18" spans="3:11" ht="33.9" customHeight="1">
      <c r="E18" s="341" t="s">
        <v>141</v>
      </c>
      <c r="F18" s="341"/>
      <c r="G18" s="341"/>
      <c r="H18" s="341"/>
      <c r="I18" s="341"/>
      <c r="J18" s="341"/>
      <c r="K18" s="341"/>
    </row>
  </sheetData>
  <mergeCells count="2">
    <mergeCell ref="D2:H4"/>
    <mergeCell ref="E18:K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B2:R33"/>
  <sheetViews>
    <sheetView showGridLines="0" workbookViewId="0">
      <selection activeCell="B6" sqref="B6"/>
    </sheetView>
  </sheetViews>
  <sheetFormatPr defaultRowHeight="14.4"/>
  <cols>
    <col min="1" max="1" width="3.6640625" customWidth="1"/>
    <col min="2" max="2" width="17.88671875" customWidth="1"/>
    <col min="3" max="3" width="16" customWidth="1"/>
    <col min="4" max="4" width="11.6640625" style="37" customWidth="1"/>
    <col min="5" max="5" width="32.88671875" style="37" customWidth="1"/>
    <col min="6" max="6" width="11.6640625" style="37" customWidth="1"/>
    <col min="10" max="10" width="11.88671875" customWidth="1"/>
    <col min="11" max="11" width="11.6640625" customWidth="1"/>
    <col min="12" max="12" width="3.6640625" customWidth="1"/>
  </cols>
  <sheetData>
    <row r="2" spans="2:18">
      <c r="B2" s="29" t="s">
        <v>23</v>
      </c>
      <c r="N2" s="75" t="s">
        <v>142</v>
      </c>
      <c r="O2" s="75"/>
      <c r="P2" s="75"/>
      <c r="Q2" s="75"/>
      <c r="R2" s="75"/>
    </row>
    <row r="3" spans="2:18">
      <c r="B3" s="28"/>
      <c r="C3" s="45" t="s">
        <v>143</v>
      </c>
      <c r="D3" s="74">
        <f>'Cost Escalation'!C4</f>
        <v>2024</v>
      </c>
      <c r="E3" s="296"/>
      <c r="F3" s="296"/>
      <c r="H3" s="36"/>
      <c r="I3" s="36"/>
      <c r="J3" s="36"/>
      <c r="K3" s="36"/>
      <c r="N3" s="342" t="s">
        <v>144</v>
      </c>
      <c r="O3" s="342"/>
      <c r="P3" s="342"/>
      <c r="Q3" s="342"/>
      <c r="R3" s="342"/>
    </row>
    <row r="4" spans="2:18">
      <c r="B4" s="28"/>
      <c r="C4" s="45" t="s">
        <v>145</v>
      </c>
      <c r="D4" s="76">
        <f>'PCW-Template'!D26</f>
        <v>2024</v>
      </c>
      <c r="E4" s="297"/>
      <c r="F4" s="297"/>
      <c r="G4" s="36"/>
      <c r="H4" s="36"/>
      <c r="I4" s="36"/>
      <c r="J4" s="36"/>
      <c r="K4" s="36"/>
      <c r="N4" s="342"/>
      <c r="O4" s="342"/>
      <c r="P4" s="342"/>
      <c r="Q4" s="342"/>
      <c r="R4" s="342"/>
    </row>
    <row r="5" spans="2:18">
      <c r="B5" s="28"/>
      <c r="C5" s="45" t="s">
        <v>146</v>
      </c>
      <c r="D5" s="65">
        <f>'Cost Escalation'!C3</f>
        <v>2024</v>
      </c>
      <c r="E5" s="46"/>
      <c r="F5" s="46"/>
      <c r="G5" s="36"/>
      <c r="H5" s="36"/>
      <c r="I5" s="36"/>
      <c r="J5" s="36"/>
      <c r="K5" s="36"/>
      <c r="N5" s="342"/>
      <c r="O5" s="342"/>
      <c r="P5" s="342"/>
      <c r="Q5" s="342"/>
      <c r="R5" s="342"/>
    </row>
    <row r="6" spans="2:18" ht="5.0999999999999996" customHeight="1">
      <c r="C6" s="42"/>
      <c r="D6" s="46"/>
      <c r="E6" s="46"/>
      <c r="F6" s="46"/>
      <c r="G6" s="36"/>
      <c r="H6" s="36"/>
      <c r="I6" s="36"/>
      <c r="J6" s="36"/>
      <c r="K6" s="36"/>
      <c r="N6" s="75"/>
      <c r="O6" s="75"/>
      <c r="P6" s="75"/>
      <c r="Q6" s="75"/>
      <c r="R6" s="75"/>
    </row>
    <row r="7" spans="2:18">
      <c r="B7" s="56" t="s">
        <v>147</v>
      </c>
      <c r="C7" s="57"/>
      <c r="D7" s="58"/>
      <c r="E7" s="343" t="s">
        <v>148</v>
      </c>
      <c r="F7" s="344"/>
      <c r="G7" s="59" t="s">
        <v>149</v>
      </c>
      <c r="H7" s="60"/>
      <c r="I7" s="61"/>
      <c r="J7" s="59"/>
      <c r="K7" s="62"/>
      <c r="N7" s="75"/>
      <c r="O7" s="75"/>
      <c r="P7" s="75"/>
      <c r="Q7" s="75"/>
      <c r="R7" s="75"/>
    </row>
    <row r="8" spans="2:18" ht="15.6">
      <c r="B8" s="66"/>
      <c r="C8" s="63" t="str">
        <f>"Min. PPI Index for "&amp;D4&amp;" Cost Data:"</f>
        <v>Min. PPI Index for 2024 Cost Data:</v>
      </c>
      <c r="D8" s="67">
        <f>'PPI-HiwaysandStreet(Horz Adj)'!K9</f>
        <v>148.46700000000001</v>
      </c>
      <c r="E8" s="301" t="str">
        <f>"Min. PPI Index for "&amp;D4&amp;" Cost Data:"</f>
        <v>Min. PPI Index for 2024 Cost Data:</v>
      </c>
      <c r="F8" s="298">
        <f>'PPI-Horizontal Design'!K9</f>
        <v>138.48500000000001</v>
      </c>
      <c r="G8" s="70"/>
      <c r="H8" s="64"/>
      <c r="I8" s="64"/>
      <c r="J8" s="63" t="str">
        <f>"Avg. Case-Schiller Index for "&amp;D4&amp;" Cost Data:"</f>
        <v>Avg. Case-Schiller Index for 2024 Cost Data:</v>
      </c>
      <c r="K8" s="67">
        <f>IF('PCW-Template'!D26='Data Validation'!D3,'Data Validation'!K9,INDEX('Case-Schiller'!X9:X34,MATCH('PCW-Template'!D26,'Case-Schiller'!I9:I34,0)))</f>
        <v>312.54280790033692</v>
      </c>
      <c r="N8" s="75"/>
      <c r="O8" s="75"/>
      <c r="P8" s="75"/>
      <c r="Q8" s="75"/>
      <c r="R8" s="75"/>
    </row>
    <row r="9" spans="2:18" ht="15.6">
      <c r="B9" s="68"/>
      <c r="C9" s="47" t="str">
        <f>"PPI Index as of "&amp;'Cost Escalation'!C5&amp;":"</f>
        <v>PPI Index as of 2024Q1:</v>
      </c>
      <c r="D9" s="48">
        <f>'PPI-HiwaysandStreet(Horz Adj)'!J16</f>
        <v>150.08199999999999</v>
      </c>
      <c r="E9" s="302" t="str">
        <f>"PPI Index as of "&amp;'Cost Escalation'!C5&amp;":"</f>
        <v>PPI Index as of 2024Q1:</v>
      </c>
      <c r="F9" s="299">
        <f>'PPI-Horizontal Design'!J16</f>
        <v>138.55500000000001</v>
      </c>
      <c r="G9" s="49"/>
      <c r="H9" s="50"/>
      <c r="I9" s="50"/>
      <c r="J9" s="47" t="str">
        <f>"Case-Shiller Index as of "&amp;'Cost Escalation'!C5&amp;":"</f>
        <v>Case-Shiller Index as of 2024Q1:</v>
      </c>
      <c r="K9" s="48">
        <f>INDEX('Case-Schiller'!X9:X45,MATCH(D5,'Case-Schiller'!I9:I45,0))</f>
        <v>312.54280790033692</v>
      </c>
      <c r="N9" s="75"/>
      <c r="O9" s="75"/>
      <c r="P9" s="75"/>
      <c r="Q9" s="75"/>
      <c r="R9" s="75"/>
    </row>
    <row r="10" spans="2:18" ht="15.6">
      <c r="B10" s="68"/>
      <c r="C10" s="47" t="s">
        <v>150</v>
      </c>
      <c r="D10" s="69">
        <f>(D9-D8)/D8</f>
        <v>1.0877838172792476E-2</v>
      </c>
      <c r="E10" s="303" t="s">
        <v>151</v>
      </c>
      <c r="F10" s="300">
        <f>(F9-F8)/F8</f>
        <v>5.0546990648801804E-4</v>
      </c>
      <c r="G10" s="49"/>
      <c r="H10" s="50"/>
      <c r="I10" s="50"/>
      <c r="J10" s="47" t="s">
        <v>152</v>
      </c>
      <c r="K10" s="69">
        <f>(K9-K8)/K8</f>
        <v>0</v>
      </c>
      <c r="N10" s="75"/>
      <c r="O10" s="75"/>
      <c r="P10" s="75"/>
      <c r="Q10" s="75"/>
      <c r="R10" s="75"/>
    </row>
    <row r="11" spans="2:18" ht="15.6">
      <c r="C11" s="42"/>
      <c r="D11" s="44"/>
      <c r="E11" s="44"/>
      <c r="F11" s="44"/>
      <c r="G11" s="43"/>
      <c r="H11" s="43"/>
      <c r="I11" s="43"/>
      <c r="J11" s="45"/>
      <c r="K11" s="44"/>
    </row>
    <row r="12" spans="2:18">
      <c r="K12" s="35"/>
    </row>
    <row r="13" spans="2:18">
      <c r="B13" s="29" t="s">
        <v>153</v>
      </c>
    </row>
    <row r="14" spans="2:18" ht="103.2">
      <c r="B14" s="51" t="s">
        <v>154</v>
      </c>
      <c r="C14" s="40" t="s">
        <v>155</v>
      </c>
      <c r="D14" s="40" t="s">
        <v>148</v>
      </c>
      <c r="E14" s="40"/>
      <c r="F14" s="40"/>
      <c r="G14" s="40" t="s">
        <v>156</v>
      </c>
      <c r="H14" s="40" t="s">
        <v>157</v>
      </c>
      <c r="I14" s="40" t="s">
        <v>158</v>
      </c>
      <c r="J14" s="41"/>
      <c r="K14" s="35"/>
    </row>
    <row r="15" spans="2:18">
      <c r="B15" s="55" t="s">
        <v>35</v>
      </c>
      <c r="C15" s="52">
        <v>0</v>
      </c>
      <c r="D15" s="39">
        <v>0.05</v>
      </c>
      <c r="E15" s="39"/>
      <c r="F15" s="39"/>
      <c r="G15" s="39">
        <v>0.1</v>
      </c>
      <c r="H15" s="39">
        <v>0.1</v>
      </c>
      <c r="I15" s="39">
        <v>0.05</v>
      </c>
    </row>
    <row r="16" spans="2:18" ht="15" thickBot="1">
      <c r="B16" s="54" t="s">
        <v>159</v>
      </c>
      <c r="C16" s="53">
        <v>0.5</v>
      </c>
      <c r="D16" s="38">
        <v>0.1</v>
      </c>
      <c r="E16" s="38"/>
      <c r="F16" s="38"/>
      <c r="G16" s="38">
        <v>0.15</v>
      </c>
      <c r="H16" s="38">
        <v>0.15</v>
      </c>
      <c r="I16" s="38">
        <v>0.1</v>
      </c>
    </row>
    <row r="17" spans="2:6">
      <c r="B17" s="29"/>
    </row>
    <row r="18" spans="2:6">
      <c r="B18" s="29"/>
    </row>
    <row r="19" spans="2:6">
      <c r="B19" s="29" t="s">
        <v>160</v>
      </c>
    </row>
    <row r="20" spans="2:6">
      <c r="B20" s="51" t="s">
        <v>27</v>
      </c>
    </row>
    <row r="21" spans="2:6">
      <c r="B21" s="51" t="s">
        <v>161</v>
      </c>
    </row>
    <row r="22" spans="2:6">
      <c r="D22"/>
      <c r="E22"/>
      <c r="F22"/>
    </row>
    <row r="23" spans="2:6">
      <c r="D23"/>
      <c r="E23"/>
      <c r="F23"/>
    </row>
    <row r="24" spans="2:6">
      <c r="D24"/>
      <c r="E24"/>
      <c r="F24"/>
    </row>
    <row r="25" spans="2:6">
      <c r="D25"/>
      <c r="E25"/>
      <c r="F25"/>
    </row>
    <row r="26" spans="2:6">
      <c r="D26"/>
      <c r="E26"/>
      <c r="F26"/>
    </row>
    <row r="27" spans="2:6">
      <c r="D27"/>
      <c r="E27"/>
      <c r="F27"/>
    </row>
    <row r="28" spans="2:6">
      <c r="D28"/>
      <c r="E28"/>
      <c r="F28"/>
    </row>
    <row r="29" spans="2:6">
      <c r="D29"/>
      <c r="E29"/>
      <c r="F29"/>
    </row>
    <row r="30" spans="2:6">
      <c r="D30"/>
      <c r="E30"/>
      <c r="F30"/>
    </row>
    <row r="31" spans="2:6">
      <c r="D31"/>
      <c r="E31"/>
      <c r="F31"/>
    </row>
    <row r="32" spans="2:6">
      <c r="D32"/>
      <c r="E32"/>
      <c r="F32"/>
    </row>
    <row r="33" customFormat="1"/>
  </sheetData>
  <mergeCells count="2">
    <mergeCell ref="N3:R5"/>
    <mergeCell ref="E7:F7"/>
  </mergeCells>
  <pageMargins left="0.7" right="0.7" top="0.75" bottom="0.75" header="0.3" footer="0.3"/>
  <pageSetup orientation="portrait" r:id="rId1"/>
  <ignoredErrors>
    <ignoredError sqref="D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</sheetPr>
  <dimension ref="A1:AA202"/>
  <sheetViews>
    <sheetView zoomScale="70" zoomScaleNormal="70" workbookViewId="0">
      <selection activeCell="B6" sqref="B6"/>
    </sheetView>
  </sheetViews>
  <sheetFormatPr defaultRowHeight="13.2"/>
  <cols>
    <col min="1" max="1" width="31.109375" style="9" customWidth="1"/>
    <col min="2" max="5" width="20.88671875" style="9" customWidth="1"/>
    <col min="6" max="6" width="13.5546875" style="9" customWidth="1"/>
    <col min="7" max="7" width="22.6640625" style="9" customWidth="1"/>
    <col min="8" max="13" width="12.109375" style="9" customWidth="1"/>
    <col min="14" max="24" width="9.109375" style="9"/>
    <col min="25" max="25" width="12.109375" style="9" bestFit="1" customWidth="1"/>
    <col min="26" max="26" width="10.109375" style="9" bestFit="1" customWidth="1"/>
    <col min="27" max="27" width="11.5546875" style="9" bestFit="1" customWidth="1"/>
    <col min="28" max="258" width="9.109375" style="9"/>
    <col min="259" max="263" width="20.88671875" style="9" customWidth="1"/>
    <col min="264" max="264" width="23.109375" style="9" customWidth="1"/>
    <col min="265" max="265" width="21.5546875" style="9" customWidth="1"/>
    <col min="266" max="266" width="18.5546875" style="9" customWidth="1"/>
    <col min="267" max="267" width="19.5546875" style="9" customWidth="1"/>
    <col min="268" max="268" width="20.5546875" style="9" customWidth="1"/>
    <col min="269" max="269" width="18.6640625" style="9" customWidth="1"/>
    <col min="270" max="514" width="9.109375" style="9"/>
    <col min="515" max="519" width="20.88671875" style="9" customWidth="1"/>
    <col min="520" max="520" width="23.109375" style="9" customWidth="1"/>
    <col min="521" max="521" width="21.5546875" style="9" customWidth="1"/>
    <col min="522" max="522" width="18.5546875" style="9" customWidth="1"/>
    <col min="523" max="523" width="19.5546875" style="9" customWidth="1"/>
    <col min="524" max="524" width="20.5546875" style="9" customWidth="1"/>
    <col min="525" max="525" width="18.6640625" style="9" customWidth="1"/>
    <col min="526" max="770" width="9.109375" style="9"/>
    <col min="771" max="775" width="20.88671875" style="9" customWidth="1"/>
    <col min="776" max="776" width="23.109375" style="9" customWidth="1"/>
    <col min="777" max="777" width="21.5546875" style="9" customWidth="1"/>
    <col min="778" max="778" width="18.5546875" style="9" customWidth="1"/>
    <col min="779" max="779" width="19.5546875" style="9" customWidth="1"/>
    <col min="780" max="780" width="20.5546875" style="9" customWidth="1"/>
    <col min="781" max="781" width="18.6640625" style="9" customWidth="1"/>
    <col min="782" max="1026" width="9.109375" style="9"/>
    <col min="1027" max="1031" width="20.88671875" style="9" customWidth="1"/>
    <col min="1032" max="1032" width="23.109375" style="9" customWidth="1"/>
    <col min="1033" max="1033" width="21.5546875" style="9" customWidth="1"/>
    <col min="1034" max="1034" width="18.5546875" style="9" customWidth="1"/>
    <col min="1035" max="1035" width="19.5546875" style="9" customWidth="1"/>
    <col min="1036" max="1036" width="20.5546875" style="9" customWidth="1"/>
    <col min="1037" max="1037" width="18.6640625" style="9" customWidth="1"/>
    <col min="1038" max="1282" width="9.109375" style="9"/>
    <col min="1283" max="1287" width="20.88671875" style="9" customWidth="1"/>
    <col min="1288" max="1288" width="23.109375" style="9" customWidth="1"/>
    <col min="1289" max="1289" width="21.5546875" style="9" customWidth="1"/>
    <col min="1290" max="1290" width="18.5546875" style="9" customWidth="1"/>
    <col min="1291" max="1291" width="19.5546875" style="9" customWidth="1"/>
    <col min="1292" max="1292" width="20.5546875" style="9" customWidth="1"/>
    <col min="1293" max="1293" width="18.6640625" style="9" customWidth="1"/>
    <col min="1294" max="1538" width="9.109375" style="9"/>
    <col min="1539" max="1543" width="20.88671875" style="9" customWidth="1"/>
    <col min="1544" max="1544" width="23.109375" style="9" customWidth="1"/>
    <col min="1545" max="1545" width="21.5546875" style="9" customWidth="1"/>
    <col min="1546" max="1546" width="18.5546875" style="9" customWidth="1"/>
    <col min="1547" max="1547" width="19.5546875" style="9" customWidth="1"/>
    <col min="1548" max="1548" width="20.5546875" style="9" customWidth="1"/>
    <col min="1549" max="1549" width="18.6640625" style="9" customWidth="1"/>
    <col min="1550" max="1794" width="9.109375" style="9"/>
    <col min="1795" max="1799" width="20.88671875" style="9" customWidth="1"/>
    <col min="1800" max="1800" width="23.109375" style="9" customWidth="1"/>
    <col min="1801" max="1801" width="21.5546875" style="9" customWidth="1"/>
    <col min="1802" max="1802" width="18.5546875" style="9" customWidth="1"/>
    <col min="1803" max="1803" width="19.5546875" style="9" customWidth="1"/>
    <col min="1804" max="1804" width="20.5546875" style="9" customWidth="1"/>
    <col min="1805" max="1805" width="18.6640625" style="9" customWidth="1"/>
    <col min="1806" max="2050" width="9.109375" style="9"/>
    <col min="2051" max="2055" width="20.88671875" style="9" customWidth="1"/>
    <col min="2056" max="2056" width="23.109375" style="9" customWidth="1"/>
    <col min="2057" max="2057" width="21.5546875" style="9" customWidth="1"/>
    <col min="2058" max="2058" width="18.5546875" style="9" customWidth="1"/>
    <col min="2059" max="2059" width="19.5546875" style="9" customWidth="1"/>
    <col min="2060" max="2060" width="20.5546875" style="9" customWidth="1"/>
    <col min="2061" max="2061" width="18.6640625" style="9" customWidth="1"/>
    <col min="2062" max="2306" width="9.109375" style="9"/>
    <col min="2307" max="2311" width="20.88671875" style="9" customWidth="1"/>
    <col min="2312" max="2312" width="23.109375" style="9" customWidth="1"/>
    <col min="2313" max="2313" width="21.5546875" style="9" customWidth="1"/>
    <col min="2314" max="2314" width="18.5546875" style="9" customWidth="1"/>
    <col min="2315" max="2315" width="19.5546875" style="9" customWidth="1"/>
    <col min="2316" max="2316" width="20.5546875" style="9" customWidth="1"/>
    <col min="2317" max="2317" width="18.6640625" style="9" customWidth="1"/>
    <col min="2318" max="2562" width="9.109375" style="9"/>
    <col min="2563" max="2567" width="20.88671875" style="9" customWidth="1"/>
    <col min="2568" max="2568" width="23.109375" style="9" customWidth="1"/>
    <col min="2569" max="2569" width="21.5546875" style="9" customWidth="1"/>
    <col min="2570" max="2570" width="18.5546875" style="9" customWidth="1"/>
    <col min="2571" max="2571" width="19.5546875" style="9" customWidth="1"/>
    <col min="2572" max="2572" width="20.5546875" style="9" customWidth="1"/>
    <col min="2573" max="2573" width="18.6640625" style="9" customWidth="1"/>
    <col min="2574" max="2818" width="9.109375" style="9"/>
    <col min="2819" max="2823" width="20.88671875" style="9" customWidth="1"/>
    <col min="2824" max="2824" width="23.109375" style="9" customWidth="1"/>
    <col min="2825" max="2825" width="21.5546875" style="9" customWidth="1"/>
    <col min="2826" max="2826" width="18.5546875" style="9" customWidth="1"/>
    <col min="2827" max="2827" width="19.5546875" style="9" customWidth="1"/>
    <col min="2828" max="2828" width="20.5546875" style="9" customWidth="1"/>
    <col min="2829" max="2829" width="18.6640625" style="9" customWidth="1"/>
    <col min="2830" max="3074" width="9.109375" style="9"/>
    <col min="3075" max="3079" width="20.88671875" style="9" customWidth="1"/>
    <col min="3080" max="3080" width="23.109375" style="9" customWidth="1"/>
    <col min="3081" max="3081" width="21.5546875" style="9" customWidth="1"/>
    <col min="3082" max="3082" width="18.5546875" style="9" customWidth="1"/>
    <col min="3083" max="3083" width="19.5546875" style="9" customWidth="1"/>
    <col min="3084" max="3084" width="20.5546875" style="9" customWidth="1"/>
    <col min="3085" max="3085" width="18.6640625" style="9" customWidth="1"/>
    <col min="3086" max="3330" width="9.109375" style="9"/>
    <col min="3331" max="3335" width="20.88671875" style="9" customWidth="1"/>
    <col min="3336" max="3336" width="23.109375" style="9" customWidth="1"/>
    <col min="3337" max="3337" width="21.5546875" style="9" customWidth="1"/>
    <col min="3338" max="3338" width="18.5546875" style="9" customWidth="1"/>
    <col min="3339" max="3339" width="19.5546875" style="9" customWidth="1"/>
    <col min="3340" max="3340" width="20.5546875" style="9" customWidth="1"/>
    <col min="3341" max="3341" width="18.6640625" style="9" customWidth="1"/>
    <col min="3342" max="3586" width="9.109375" style="9"/>
    <col min="3587" max="3591" width="20.88671875" style="9" customWidth="1"/>
    <col min="3592" max="3592" width="23.109375" style="9" customWidth="1"/>
    <col min="3593" max="3593" width="21.5546875" style="9" customWidth="1"/>
    <col min="3594" max="3594" width="18.5546875" style="9" customWidth="1"/>
    <col min="3595" max="3595" width="19.5546875" style="9" customWidth="1"/>
    <col min="3596" max="3596" width="20.5546875" style="9" customWidth="1"/>
    <col min="3597" max="3597" width="18.6640625" style="9" customWidth="1"/>
    <col min="3598" max="3842" width="9.109375" style="9"/>
    <col min="3843" max="3847" width="20.88671875" style="9" customWidth="1"/>
    <col min="3848" max="3848" width="23.109375" style="9" customWidth="1"/>
    <col min="3849" max="3849" width="21.5546875" style="9" customWidth="1"/>
    <col min="3850" max="3850" width="18.5546875" style="9" customWidth="1"/>
    <col min="3851" max="3851" width="19.5546875" style="9" customWidth="1"/>
    <col min="3852" max="3852" width="20.5546875" style="9" customWidth="1"/>
    <col min="3853" max="3853" width="18.6640625" style="9" customWidth="1"/>
    <col min="3854" max="4098" width="9.109375" style="9"/>
    <col min="4099" max="4103" width="20.88671875" style="9" customWidth="1"/>
    <col min="4104" max="4104" width="23.109375" style="9" customWidth="1"/>
    <col min="4105" max="4105" width="21.5546875" style="9" customWidth="1"/>
    <col min="4106" max="4106" width="18.5546875" style="9" customWidth="1"/>
    <col min="4107" max="4107" width="19.5546875" style="9" customWidth="1"/>
    <col min="4108" max="4108" width="20.5546875" style="9" customWidth="1"/>
    <col min="4109" max="4109" width="18.6640625" style="9" customWidth="1"/>
    <col min="4110" max="4354" width="9.109375" style="9"/>
    <col min="4355" max="4359" width="20.88671875" style="9" customWidth="1"/>
    <col min="4360" max="4360" width="23.109375" style="9" customWidth="1"/>
    <col min="4361" max="4361" width="21.5546875" style="9" customWidth="1"/>
    <col min="4362" max="4362" width="18.5546875" style="9" customWidth="1"/>
    <col min="4363" max="4363" width="19.5546875" style="9" customWidth="1"/>
    <col min="4364" max="4364" width="20.5546875" style="9" customWidth="1"/>
    <col min="4365" max="4365" width="18.6640625" style="9" customWidth="1"/>
    <col min="4366" max="4610" width="9.109375" style="9"/>
    <col min="4611" max="4615" width="20.88671875" style="9" customWidth="1"/>
    <col min="4616" max="4616" width="23.109375" style="9" customWidth="1"/>
    <col min="4617" max="4617" width="21.5546875" style="9" customWidth="1"/>
    <col min="4618" max="4618" width="18.5546875" style="9" customWidth="1"/>
    <col min="4619" max="4619" width="19.5546875" style="9" customWidth="1"/>
    <col min="4620" max="4620" width="20.5546875" style="9" customWidth="1"/>
    <col min="4621" max="4621" width="18.6640625" style="9" customWidth="1"/>
    <col min="4622" max="4866" width="9.109375" style="9"/>
    <col min="4867" max="4871" width="20.88671875" style="9" customWidth="1"/>
    <col min="4872" max="4872" width="23.109375" style="9" customWidth="1"/>
    <col min="4873" max="4873" width="21.5546875" style="9" customWidth="1"/>
    <col min="4874" max="4874" width="18.5546875" style="9" customWidth="1"/>
    <col min="4875" max="4875" width="19.5546875" style="9" customWidth="1"/>
    <col min="4876" max="4876" width="20.5546875" style="9" customWidth="1"/>
    <col min="4877" max="4877" width="18.6640625" style="9" customWidth="1"/>
    <col min="4878" max="5122" width="9.109375" style="9"/>
    <col min="5123" max="5127" width="20.88671875" style="9" customWidth="1"/>
    <col min="5128" max="5128" width="23.109375" style="9" customWidth="1"/>
    <col min="5129" max="5129" width="21.5546875" style="9" customWidth="1"/>
    <col min="5130" max="5130" width="18.5546875" style="9" customWidth="1"/>
    <col min="5131" max="5131" width="19.5546875" style="9" customWidth="1"/>
    <col min="5132" max="5132" width="20.5546875" style="9" customWidth="1"/>
    <col min="5133" max="5133" width="18.6640625" style="9" customWidth="1"/>
    <col min="5134" max="5378" width="9.109375" style="9"/>
    <col min="5379" max="5383" width="20.88671875" style="9" customWidth="1"/>
    <col min="5384" max="5384" width="23.109375" style="9" customWidth="1"/>
    <col min="5385" max="5385" width="21.5546875" style="9" customWidth="1"/>
    <col min="5386" max="5386" width="18.5546875" style="9" customWidth="1"/>
    <col min="5387" max="5387" width="19.5546875" style="9" customWidth="1"/>
    <col min="5388" max="5388" width="20.5546875" style="9" customWidth="1"/>
    <col min="5389" max="5389" width="18.6640625" style="9" customWidth="1"/>
    <col min="5390" max="5634" width="9.109375" style="9"/>
    <col min="5635" max="5639" width="20.88671875" style="9" customWidth="1"/>
    <col min="5640" max="5640" width="23.109375" style="9" customWidth="1"/>
    <col min="5641" max="5641" width="21.5546875" style="9" customWidth="1"/>
    <col min="5642" max="5642" width="18.5546875" style="9" customWidth="1"/>
    <col min="5643" max="5643" width="19.5546875" style="9" customWidth="1"/>
    <col min="5644" max="5644" width="20.5546875" style="9" customWidth="1"/>
    <col min="5645" max="5645" width="18.6640625" style="9" customWidth="1"/>
    <col min="5646" max="5890" width="9.109375" style="9"/>
    <col min="5891" max="5895" width="20.88671875" style="9" customWidth="1"/>
    <col min="5896" max="5896" width="23.109375" style="9" customWidth="1"/>
    <col min="5897" max="5897" width="21.5546875" style="9" customWidth="1"/>
    <col min="5898" max="5898" width="18.5546875" style="9" customWidth="1"/>
    <col min="5899" max="5899" width="19.5546875" style="9" customWidth="1"/>
    <col min="5900" max="5900" width="20.5546875" style="9" customWidth="1"/>
    <col min="5901" max="5901" width="18.6640625" style="9" customWidth="1"/>
    <col min="5902" max="6146" width="9.109375" style="9"/>
    <col min="6147" max="6151" width="20.88671875" style="9" customWidth="1"/>
    <col min="6152" max="6152" width="23.109375" style="9" customWidth="1"/>
    <col min="6153" max="6153" width="21.5546875" style="9" customWidth="1"/>
    <col min="6154" max="6154" width="18.5546875" style="9" customWidth="1"/>
    <col min="6155" max="6155" width="19.5546875" style="9" customWidth="1"/>
    <col min="6156" max="6156" width="20.5546875" style="9" customWidth="1"/>
    <col min="6157" max="6157" width="18.6640625" style="9" customWidth="1"/>
    <col min="6158" max="6402" width="9.109375" style="9"/>
    <col min="6403" max="6407" width="20.88671875" style="9" customWidth="1"/>
    <col min="6408" max="6408" width="23.109375" style="9" customWidth="1"/>
    <col min="6409" max="6409" width="21.5546875" style="9" customWidth="1"/>
    <col min="6410" max="6410" width="18.5546875" style="9" customWidth="1"/>
    <col min="6411" max="6411" width="19.5546875" style="9" customWidth="1"/>
    <col min="6412" max="6412" width="20.5546875" style="9" customWidth="1"/>
    <col min="6413" max="6413" width="18.6640625" style="9" customWidth="1"/>
    <col min="6414" max="6658" width="9.109375" style="9"/>
    <col min="6659" max="6663" width="20.88671875" style="9" customWidth="1"/>
    <col min="6664" max="6664" width="23.109375" style="9" customWidth="1"/>
    <col min="6665" max="6665" width="21.5546875" style="9" customWidth="1"/>
    <col min="6666" max="6666" width="18.5546875" style="9" customWidth="1"/>
    <col min="6667" max="6667" width="19.5546875" style="9" customWidth="1"/>
    <col min="6668" max="6668" width="20.5546875" style="9" customWidth="1"/>
    <col min="6669" max="6669" width="18.6640625" style="9" customWidth="1"/>
    <col min="6670" max="6914" width="9.109375" style="9"/>
    <col min="6915" max="6919" width="20.88671875" style="9" customWidth="1"/>
    <col min="6920" max="6920" width="23.109375" style="9" customWidth="1"/>
    <col min="6921" max="6921" width="21.5546875" style="9" customWidth="1"/>
    <col min="6922" max="6922" width="18.5546875" style="9" customWidth="1"/>
    <col min="6923" max="6923" width="19.5546875" style="9" customWidth="1"/>
    <col min="6924" max="6924" width="20.5546875" style="9" customWidth="1"/>
    <col min="6925" max="6925" width="18.6640625" style="9" customWidth="1"/>
    <col min="6926" max="7170" width="9.109375" style="9"/>
    <col min="7171" max="7175" width="20.88671875" style="9" customWidth="1"/>
    <col min="7176" max="7176" width="23.109375" style="9" customWidth="1"/>
    <col min="7177" max="7177" width="21.5546875" style="9" customWidth="1"/>
    <col min="7178" max="7178" width="18.5546875" style="9" customWidth="1"/>
    <col min="7179" max="7179" width="19.5546875" style="9" customWidth="1"/>
    <col min="7180" max="7180" width="20.5546875" style="9" customWidth="1"/>
    <col min="7181" max="7181" width="18.6640625" style="9" customWidth="1"/>
    <col min="7182" max="7426" width="9.109375" style="9"/>
    <col min="7427" max="7431" width="20.88671875" style="9" customWidth="1"/>
    <col min="7432" max="7432" width="23.109375" style="9" customWidth="1"/>
    <col min="7433" max="7433" width="21.5546875" style="9" customWidth="1"/>
    <col min="7434" max="7434" width="18.5546875" style="9" customWidth="1"/>
    <col min="7435" max="7435" width="19.5546875" style="9" customWidth="1"/>
    <col min="7436" max="7436" width="20.5546875" style="9" customWidth="1"/>
    <col min="7437" max="7437" width="18.6640625" style="9" customWidth="1"/>
    <col min="7438" max="7682" width="9.109375" style="9"/>
    <col min="7683" max="7687" width="20.88671875" style="9" customWidth="1"/>
    <col min="7688" max="7688" width="23.109375" style="9" customWidth="1"/>
    <col min="7689" max="7689" width="21.5546875" style="9" customWidth="1"/>
    <col min="7690" max="7690" width="18.5546875" style="9" customWidth="1"/>
    <col min="7691" max="7691" width="19.5546875" style="9" customWidth="1"/>
    <col min="7692" max="7692" width="20.5546875" style="9" customWidth="1"/>
    <col min="7693" max="7693" width="18.6640625" style="9" customWidth="1"/>
    <col min="7694" max="7938" width="9.109375" style="9"/>
    <col min="7939" max="7943" width="20.88671875" style="9" customWidth="1"/>
    <col min="7944" max="7944" width="23.109375" style="9" customWidth="1"/>
    <col min="7945" max="7945" width="21.5546875" style="9" customWidth="1"/>
    <col min="7946" max="7946" width="18.5546875" style="9" customWidth="1"/>
    <col min="7947" max="7947" width="19.5546875" style="9" customWidth="1"/>
    <col min="7948" max="7948" width="20.5546875" style="9" customWidth="1"/>
    <col min="7949" max="7949" width="18.6640625" style="9" customWidth="1"/>
    <col min="7950" max="8194" width="9.109375" style="9"/>
    <col min="8195" max="8199" width="20.88671875" style="9" customWidth="1"/>
    <col min="8200" max="8200" width="23.109375" style="9" customWidth="1"/>
    <col min="8201" max="8201" width="21.5546875" style="9" customWidth="1"/>
    <col min="8202" max="8202" width="18.5546875" style="9" customWidth="1"/>
    <col min="8203" max="8203" width="19.5546875" style="9" customWidth="1"/>
    <col min="8204" max="8204" width="20.5546875" style="9" customWidth="1"/>
    <col min="8205" max="8205" width="18.6640625" style="9" customWidth="1"/>
    <col min="8206" max="8450" width="9.109375" style="9"/>
    <col min="8451" max="8455" width="20.88671875" style="9" customWidth="1"/>
    <col min="8456" max="8456" width="23.109375" style="9" customWidth="1"/>
    <col min="8457" max="8457" width="21.5546875" style="9" customWidth="1"/>
    <col min="8458" max="8458" width="18.5546875" style="9" customWidth="1"/>
    <col min="8459" max="8459" width="19.5546875" style="9" customWidth="1"/>
    <col min="8460" max="8460" width="20.5546875" style="9" customWidth="1"/>
    <col min="8461" max="8461" width="18.6640625" style="9" customWidth="1"/>
    <col min="8462" max="8706" width="9.109375" style="9"/>
    <col min="8707" max="8711" width="20.88671875" style="9" customWidth="1"/>
    <col min="8712" max="8712" width="23.109375" style="9" customWidth="1"/>
    <col min="8713" max="8713" width="21.5546875" style="9" customWidth="1"/>
    <col min="8714" max="8714" width="18.5546875" style="9" customWidth="1"/>
    <col min="8715" max="8715" width="19.5546875" style="9" customWidth="1"/>
    <col min="8716" max="8716" width="20.5546875" style="9" customWidth="1"/>
    <col min="8717" max="8717" width="18.6640625" style="9" customWidth="1"/>
    <col min="8718" max="8962" width="9.109375" style="9"/>
    <col min="8963" max="8967" width="20.88671875" style="9" customWidth="1"/>
    <col min="8968" max="8968" width="23.109375" style="9" customWidth="1"/>
    <col min="8969" max="8969" width="21.5546875" style="9" customWidth="1"/>
    <col min="8970" max="8970" width="18.5546875" style="9" customWidth="1"/>
    <col min="8971" max="8971" width="19.5546875" style="9" customWidth="1"/>
    <col min="8972" max="8972" width="20.5546875" style="9" customWidth="1"/>
    <col min="8973" max="8973" width="18.6640625" style="9" customWidth="1"/>
    <col min="8974" max="9218" width="9.109375" style="9"/>
    <col min="9219" max="9223" width="20.88671875" style="9" customWidth="1"/>
    <col min="9224" max="9224" width="23.109375" style="9" customWidth="1"/>
    <col min="9225" max="9225" width="21.5546875" style="9" customWidth="1"/>
    <col min="9226" max="9226" width="18.5546875" style="9" customWidth="1"/>
    <col min="9227" max="9227" width="19.5546875" style="9" customWidth="1"/>
    <col min="9228" max="9228" width="20.5546875" style="9" customWidth="1"/>
    <col min="9229" max="9229" width="18.6640625" style="9" customWidth="1"/>
    <col min="9230" max="9474" width="9.109375" style="9"/>
    <col min="9475" max="9479" width="20.88671875" style="9" customWidth="1"/>
    <col min="9480" max="9480" width="23.109375" style="9" customWidth="1"/>
    <col min="9481" max="9481" width="21.5546875" style="9" customWidth="1"/>
    <col min="9482" max="9482" width="18.5546875" style="9" customWidth="1"/>
    <col min="9483" max="9483" width="19.5546875" style="9" customWidth="1"/>
    <col min="9484" max="9484" width="20.5546875" style="9" customWidth="1"/>
    <col min="9485" max="9485" width="18.6640625" style="9" customWidth="1"/>
    <col min="9486" max="9730" width="9.109375" style="9"/>
    <col min="9731" max="9735" width="20.88671875" style="9" customWidth="1"/>
    <col min="9736" max="9736" width="23.109375" style="9" customWidth="1"/>
    <col min="9737" max="9737" width="21.5546875" style="9" customWidth="1"/>
    <col min="9738" max="9738" width="18.5546875" style="9" customWidth="1"/>
    <col min="9739" max="9739" width="19.5546875" style="9" customWidth="1"/>
    <col min="9740" max="9740" width="20.5546875" style="9" customWidth="1"/>
    <col min="9741" max="9741" width="18.6640625" style="9" customWidth="1"/>
    <col min="9742" max="9986" width="9.109375" style="9"/>
    <col min="9987" max="9991" width="20.88671875" style="9" customWidth="1"/>
    <col min="9992" max="9992" width="23.109375" style="9" customWidth="1"/>
    <col min="9993" max="9993" width="21.5546875" style="9" customWidth="1"/>
    <col min="9994" max="9994" width="18.5546875" style="9" customWidth="1"/>
    <col min="9995" max="9995" width="19.5546875" style="9" customWidth="1"/>
    <col min="9996" max="9996" width="20.5546875" style="9" customWidth="1"/>
    <col min="9997" max="9997" width="18.6640625" style="9" customWidth="1"/>
    <col min="9998" max="10242" width="9.109375" style="9"/>
    <col min="10243" max="10247" width="20.88671875" style="9" customWidth="1"/>
    <col min="10248" max="10248" width="23.109375" style="9" customWidth="1"/>
    <col min="10249" max="10249" width="21.5546875" style="9" customWidth="1"/>
    <col min="10250" max="10250" width="18.5546875" style="9" customWidth="1"/>
    <col min="10251" max="10251" width="19.5546875" style="9" customWidth="1"/>
    <col min="10252" max="10252" width="20.5546875" style="9" customWidth="1"/>
    <col min="10253" max="10253" width="18.6640625" style="9" customWidth="1"/>
    <col min="10254" max="10498" width="9.109375" style="9"/>
    <col min="10499" max="10503" width="20.88671875" style="9" customWidth="1"/>
    <col min="10504" max="10504" width="23.109375" style="9" customWidth="1"/>
    <col min="10505" max="10505" width="21.5546875" style="9" customWidth="1"/>
    <col min="10506" max="10506" width="18.5546875" style="9" customWidth="1"/>
    <col min="10507" max="10507" width="19.5546875" style="9" customWidth="1"/>
    <col min="10508" max="10508" width="20.5546875" style="9" customWidth="1"/>
    <col min="10509" max="10509" width="18.6640625" style="9" customWidth="1"/>
    <col min="10510" max="10754" width="9.109375" style="9"/>
    <col min="10755" max="10759" width="20.88671875" style="9" customWidth="1"/>
    <col min="10760" max="10760" width="23.109375" style="9" customWidth="1"/>
    <col min="10761" max="10761" width="21.5546875" style="9" customWidth="1"/>
    <col min="10762" max="10762" width="18.5546875" style="9" customWidth="1"/>
    <col min="10763" max="10763" width="19.5546875" style="9" customWidth="1"/>
    <col min="10764" max="10764" width="20.5546875" style="9" customWidth="1"/>
    <col min="10765" max="10765" width="18.6640625" style="9" customWidth="1"/>
    <col min="10766" max="11010" width="9.109375" style="9"/>
    <col min="11011" max="11015" width="20.88671875" style="9" customWidth="1"/>
    <col min="11016" max="11016" width="23.109375" style="9" customWidth="1"/>
    <col min="11017" max="11017" width="21.5546875" style="9" customWidth="1"/>
    <col min="11018" max="11018" width="18.5546875" style="9" customWidth="1"/>
    <col min="11019" max="11019" width="19.5546875" style="9" customWidth="1"/>
    <col min="11020" max="11020" width="20.5546875" style="9" customWidth="1"/>
    <col min="11021" max="11021" width="18.6640625" style="9" customWidth="1"/>
    <col min="11022" max="11266" width="9.109375" style="9"/>
    <col min="11267" max="11271" width="20.88671875" style="9" customWidth="1"/>
    <col min="11272" max="11272" width="23.109375" style="9" customWidth="1"/>
    <col min="11273" max="11273" width="21.5546875" style="9" customWidth="1"/>
    <col min="11274" max="11274" width="18.5546875" style="9" customWidth="1"/>
    <col min="11275" max="11275" width="19.5546875" style="9" customWidth="1"/>
    <col min="11276" max="11276" width="20.5546875" style="9" customWidth="1"/>
    <col min="11277" max="11277" width="18.6640625" style="9" customWidth="1"/>
    <col min="11278" max="11522" width="9.109375" style="9"/>
    <col min="11523" max="11527" width="20.88671875" style="9" customWidth="1"/>
    <col min="11528" max="11528" width="23.109375" style="9" customWidth="1"/>
    <col min="11529" max="11529" width="21.5546875" style="9" customWidth="1"/>
    <col min="11530" max="11530" width="18.5546875" style="9" customWidth="1"/>
    <col min="11531" max="11531" width="19.5546875" style="9" customWidth="1"/>
    <col min="11532" max="11532" width="20.5546875" style="9" customWidth="1"/>
    <col min="11533" max="11533" width="18.6640625" style="9" customWidth="1"/>
    <col min="11534" max="11778" width="9.109375" style="9"/>
    <col min="11779" max="11783" width="20.88671875" style="9" customWidth="1"/>
    <col min="11784" max="11784" width="23.109375" style="9" customWidth="1"/>
    <col min="11785" max="11785" width="21.5546875" style="9" customWidth="1"/>
    <col min="11786" max="11786" width="18.5546875" style="9" customWidth="1"/>
    <col min="11787" max="11787" width="19.5546875" style="9" customWidth="1"/>
    <col min="11788" max="11788" width="20.5546875" style="9" customWidth="1"/>
    <col min="11789" max="11789" width="18.6640625" style="9" customWidth="1"/>
    <col min="11790" max="12034" width="9.109375" style="9"/>
    <col min="12035" max="12039" width="20.88671875" style="9" customWidth="1"/>
    <col min="12040" max="12040" width="23.109375" style="9" customWidth="1"/>
    <col min="12041" max="12041" width="21.5546875" style="9" customWidth="1"/>
    <col min="12042" max="12042" width="18.5546875" style="9" customWidth="1"/>
    <col min="12043" max="12043" width="19.5546875" style="9" customWidth="1"/>
    <col min="12044" max="12044" width="20.5546875" style="9" customWidth="1"/>
    <col min="12045" max="12045" width="18.6640625" style="9" customWidth="1"/>
    <col min="12046" max="12290" width="9.109375" style="9"/>
    <col min="12291" max="12295" width="20.88671875" style="9" customWidth="1"/>
    <col min="12296" max="12296" width="23.109375" style="9" customWidth="1"/>
    <col min="12297" max="12297" width="21.5546875" style="9" customWidth="1"/>
    <col min="12298" max="12298" width="18.5546875" style="9" customWidth="1"/>
    <col min="12299" max="12299" width="19.5546875" style="9" customWidth="1"/>
    <col min="12300" max="12300" width="20.5546875" style="9" customWidth="1"/>
    <col min="12301" max="12301" width="18.6640625" style="9" customWidth="1"/>
    <col min="12302" max="12546" width="9.109375" style="9"/>
    <col min="12547" max="12551" width="20.88671875" style="9" customWidth="1"/>
    <col min="12552" max="12552" width="23.109375" style="9" customWidth="1"/>
    <col min="12553" max="12553" width="21.5546875" style="9" customWidth="1"/>
    <col min="12554" max="12554" width="18.5546875" style="9" customWidth="1"/>
    <col min="12555" max="12555" width="19.5546875" style="9" customWidth="1"/>
    <col min="12556" max="12556" width="20.5546875" style="9" customWidth="1"/>
    <col min="12557" max="12557" width="18.6640625" style="9" customWidth="1"/>
    <col min="12558" max="12802" width="9.109375" style="9"/>
    <col min="12803" max="12807" width="20.88671875" style="9" customWidth="1"/>
    <col min="12808" max="12808" width="23.109375" style="9" customWidth="1"/>
    <col min="12809" max="12809" width="21.5546875" style="9" customWidth="1"/>
    <col min="12810" max="12810" width="18.5546875" style="9" customWidth="1"/>
    <col min="12811" max="12811" width="19.5546875" style="9" customWidth="1"/>
    <col min="12812" max="12812" width="20.5546875" style="9" customWidth="1"/>
    <col min="12813" max="12813" width="18.6640625" style="9" customWidth="1"/>
    <col min="12814" max="13058" width="9.109375" style="9"/>
    <col min="13059" max="13063" width="20.88671875" style="9" customWidth="1"/>
    <col min="13064" max="13064" width="23.109375" style="9" customWidth="1"/>
    <col min="13065" max="13065" width="21.5546875" style="9" customWidth="1"/>
    <col min="13066" max="13066" width="18.5546875" style="9" customWidth="1"/>
    <col min="13067" max="13067" width="19.5546875" style="9" customWidth="1"/>
    <col min="13068" max="13068" width="20.5546875" style="9" customWidth="1"/>
    <col min="13069" max="13069" width="18.6640625" style="9" customWidth="1"/>
    <col min="13070" max="13314" width="9.109375" style="9"/>
    <col min="13315" max="13319" width="20.88671875" style="9" customWidth="1"/>
    <col min="13320" max="13320" width="23.109375" style="9" customWidth="1"/>
    <col min="13321" max="13321" width="21.5546875" style="9" customWidth="1"/>
    <col min="13322" max="13322" width="18.5546875" style="9" customWidth="1"/>
    <col min="13323" max="13323" width="19.5546875" style="9" customWidth="1"/>
    <col min="13324" max="13324" width="20.5546875" style="9" customWidth="1"/>
    <col min="13325" max="13325" width="18.6640625" style="9" customWidth="1"/>
    <col min="13326" max="13570" width="9.109375" style="9"/>
    <col min="13571" max="13575" width="20.88671875" style="9" customWidth="1"/>
    <col min="13576" max="13576" width="23.109375" style="9" customWidth="1"/>
    <col min="13577" max="13577" width="21.5546875" style="9" customWidth="1"/>
    <col min="13578" max="13578" width="18.5546875" style="9" customWidth="1"/>
    <col min="13579" max="13579" width="19.5546875" style="9" customWidth="1"/>
    <col min="13580" max="13580" width="20.5546875" style="9" customWidth="1"/>
    <col min="13581" max="13581" width="18.6640625" style="9" customWidth="1"/>
    <col min="13582" max="13826" width="9.109375" style="9"/>
    <col min="13827" max="13831" width="20.88671875" style="9" customWidth="1"/>
    <col min="13832" max="13832" width="23.109375" style="9" customWidth="1"/>
    <col min="13833" max="13833" width="21.5546875" style="9" customWidth="1"/>
    <col min="13834" max="13834" width="18.5546875" style="9" customWidth="1"/>
    <col min="13835" max="13835" width="19.5546875" style="9" customWidth="1"/>
    <col min="13836" max="13836" width="20.5546875" style="9" customWidth="1"/>
    <col min="13837" max="13837" width="18.6640625" style="9" customWidth="1"/>
    <col min="13838" max="14082" width="9.109375" style="9"/>
    <col min="14083" max="14087" width="20.88671875" style="9" customWidth="1"/>
    <col min="14088" max="14088" width="23.109375" style="9" customWidth="1"/>
    <col min="14089" max="14089" width="21.5546875" style="9" customWidth="1"/>
    <col min="14090" max="14090" width="18.5546875" style="9" customWidth="1"/>
    <col min="14091" max="14091" width="19.5546875" style="9" customWidth="1"/>
    <col min="14092" max="14092" width="20.5546875" style="9" customWidth="1"/>
    <col min="14093" max="14093" width="18.6640625" style="9" customWidth="1"/>
    <col min="14094" max="14338" width="9.109375" style="9"/>
    <col min="14339" max="14343" width="20.88671875" style="9" customWidth="1"/>
    <col min="14344" max="14344" width="23.109375" style="9" customWidth="1"/>
    <col min="14345" max="14345" width="21.5546875" style="9" customWidth="1"/>
    <col min="14346" max="14346" width="18.5546875" style="9" customWidth="1"/>
    <col min="14347" max="14347" width="19.5546875" style="9" customWidth="1"/>
    <col min="14348" max="14348" width="20.5546875" style="9" customWidth="1"/>
    <col min="14349" max="14349" width="18.6640625" style="9" customWidth="1"/>
    <col min="14350" max="14594" width="9.109375" style="9"/>
    <col min="14595" max="14599" width="20.88671875" style="9" customWidth="1"/>
    <col min="14600" max="14600" width="23.109375" style="9" customWidth="1"/>
    <col min="14601" max="14601" width="21.5546875" style="9" customWidth="1"/>
    <col min="14602" max="14602" width="18.5546875" style="9" customWidth="1"/>
    <col min="14603" max="14603" width="19.5546875" style="9" customWidth="1"/>
    <col min="14604" max="14604" width="20.5546875" style="9" customWidth="1"/>
    <col min="14605" max="14605" width="18.6640625" style="9" customWidth="1"/>
    <col min="14606" max="14850" width="9.109375" style="9"/>
    <col min="14851" max="14855" width="20.88671875" style="9" customWidth="1"/>
    <col min="14856" max="14856" width="23.109375" style="9" customWidth="1"/>
    <col min="14857" max="14857" width="21.5546875" style="9" customWidth="1"/>
    <col min="14858" max="14858" width="18.5546875" style="9" customWidth="1"/>
    <col min="14859" max="14859" width="19.5546875" style="9" customWidth="1"/>
    <col min="14860" max="14860" width="20.5546875" style="9" customWidth="1"/>
    <col min="14861" max="14861" width="18.6640625" style="9" customWidth="1"/>
    <col min="14862" max="15106" width="9.109375" style="9"/>
    <col min="15107" max="15111" width="20.88671875" style="9" customWidth="1"/>
    <col min="15112" max="15112" width="23.109375" style="9" customWidth="1"/>
    <col min="15113" max="15113" width="21.5546875" style="9" customWidth="1"/>
    <col min="15114" max="15114" width="18.5546875" style="9" customWidth="1"/>
    <col min="15115" max="15115" width="19.5546875" style="9" customWidth="1"/>
    <col min="15116" max="15116" width="20.5546875" style="9" customWidth="1"/>
    <col min="15117" max="15117" width="18.6640625" style="9" customWidth="1"/>
    <col min="15118" max="15362" width="9.109375" style="9"/>
    <col min="15363" max="15367" width="20.88671875" style="9" customWidth="1"/>
    <col min="15368" max="15368" width="23.109375" style="9" customWidth="1"/>
    <col min="15369" max="15369" width="21.5546875" style="9" customWidth="1"/>
    <col min="15370" max="15370" width="18.5546875" style="9" customWidth="1"/>
    <col min="15371" max="15371" width="19.5546875" style="9" customWidth="1"/>
    <col min="15372" max="15372" width="20.5546875" style="9" customWidth="1"/>
    <col min="15373" max="15373" width="18.6640625" style="9" customWidth="1"/>
    <col min="15374" max="15618" width="9.109375" style="9"/>
    <col min="15619" max="15623" width="20.88671875" style="9" customWidth="1"/>
    <col min="15624" max="15624" width="23.109375" style="9" customWidth="1"/>
    <col min="15625" max="15625" width="21.5546875" style="9" customWidth="1"/>
    <col min="15626" max="15626" width="18.5546875" style="9" customWidth="1"/>
    <col min="15627" max="15627" width="19.5546875" style="9" customWidth="1"/>
    <col min="15628" max="15628" width="20.5546875" style="9" customWidth="1"/>
    <col min="15629" max="15629" width="18.6640625" style="9" customWidth="1"/>
    <col min="15630" max="15874" width="9.109375" style="9"/>
    <col min="15875" max="15879" width="20.88671875" style="9" customWidth="1"/>
    <col min="15880" max="15880" width="23.109375" style="9" customWidth="1"/>
    <col min="15881" max="15881" width="21.5546875" style="9" customWidth="1"/>
    <col min="15882" max="15882" width="18.5546875" style="9" customWidth="1"/>
    <col min="15883" max="15883" width="19.5546875" style="9" customWidth="1"/>
    <col min="15884" max="15884" width="20.5546875" style="9" customWidth="1"/>
    <col min="15885" max="15885" width="18.6640625" style="9" customWidth="1"/>
    <col min="15886" max="16130" width="9.109375" style="9"/>
    <col min="16131" max="16135" width="20.88671875" style="9" customWidth="1"/>
    <col min="16136" max="16136" width="23.109375" style="9" customWidth="1"/>
    <col min="16137" max="16137" width="21.5546875" style="9" customWidth="1"/>
    <col min="16138" max="16138" width="18.5546875" style="9" customWidth="1"/>
    <col min="16139" max="16139" width="19.5546875" style="9" customWidth="1"/>
    <col min="16140" max="16140" width="20.5546875" style="9" customWidth="1"/>
    <col min="16141" max="16141" width="18.6640625" style="9" customWidth="1"/>
    <col min="16142" max="16384" width="9.109375" style="9"/>
  </cols>
  <sheetData>
    <row r="1" spans="1:27" ht="51" customHeight="1" thickBot="1"/>
    <row r="2" spans="1:27" ht="15" thickBot="1">
      <c r="C2" s="6"/>
      <c r="D2" s="24"/>
      <c r="H2" s="349" t="s">
        <v>162</v>
      </c>
      <c r="I2" s="351" t="s">
        <v>163</v>
      </c>
      <c r="J2" s="352"/>
      <c r="K2" s="353" t="s">
        <v>164</v>
      </c>
      <c r="L2" s="354"/>
      <c r="M2" s="355" t="s">
        <v>165</v>
      </c>
      <c r="N2" s="356"/>
    </row>
    <row r="3" spans="1:27" ht="29.4" thickBot="1">
      <c r="C3" s="6"/>
      <c r="D3" s="6"/>
      <c r="H3" s="350"/>
      <c r="I3" s="269" t="s">
        <v>166</v>
      </c>
      <c r="J3" s="270" t="s">
        <v>167</v>
      </c>
      <c r="K3" s="271" t="s">
        <v>166</v>
      </c>
      <c r="L3" s="272" t="s">
        <v>167</v>
      </c>
      <c r="M3" s="277" t="s">
        <v>166</v>
      </c>
      <c r="N3" s="278" t="s">
        <v>167</v>
      </c>
    </row>
    <row r="4" spans="1:27" ht="15" thickBot="1">
      <c r="C4" s="6"/>
      <c r="D4" s="6"/>
      <c r="H4" s="273" t="s">
        <v>168</v>
      </c>
      <c r="I4" s="274">
        <f>T24</f>
        <v>293.99152806023602</v>
      </c>
      <c r="J4" s="281">
        <f>(I4/K4)-1</f>
        <v>0.20227958460887918</v>
      </c>
      <c r="K4" s="275">
        <f>T23</f>
        <v>244.52842069665201</v>
      </c>
      <c r="L4" s="280">
        <f>(K4/M4)-1</f>
        <v>8.2904297061477505E-2</v>
      </c>
      <c r="M4" s="276">
        <f>T22</f>
        <v>225.80796969796299</v>
      </c>
      <c r="N4" s="279">
        <f>(S22/S21)-1</f>
        <v>3.4568089762189391E-2</v>
      </c>
    </row>
    <row r="5" spans="1:27">
      <c r="A5" s="348" t="s">
        <v>169</v>
      </c>
      <c r="B5" s="348"/>
      <c r="C5" s="348"/>
      <c r="D5" s="348"/>
      <c r="E5" s="348"/>
    </row>
    <row r="6" spans="1:27">
      <c r="A6" s="22" t="s">
        <v>170</v>
      </c>
      <c r="B6" s="22"/>
      <c r="C6" s="22"/>
      <c r="D6" s="22"/>
      <c r="E6" s="22" t="s">
        <v>171</v>
      </c>
      <c r="F6" s="23">
        <v>45358</v>
      </c>
    </row>
    <row r="7" spans="1:27" ht="51" customHeight="1">
      <c r="A7" s="205" t="s">
        <v>172</v>
      </c>
      <c r="B7" s="347" t="s">
        <v>173</v>
      </c>
      <c r="C7" s="347"/>
      <c r="D7" s="347"/>
      <c r="E7" s="347"/>
      <c r="F7" s="205" t="s">
        <v>174</v>
      </c>
    </row>
    <row r="8" spans="1:27" ht="14.25" customHeight="1">
      <c r="F8" s="16"/>
      <c r="I8" s="345" t="s">
        <v>175</v>
      </c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45"/>
    </row>
    <row r="9" spans="1:27" ht="79.2">
      <c r="A9" s="22" t="s">
        <v>176</v>
      </c>
      <c r="B9" s="22"/>
      <c r="C9" s="22"/>
      <c r="D9" s="21" t="s">
        <v>177</v>
      </c>
      <c r="E9" s="21" t="s">
        <v>178</v>
      </c>
      <c r="F9" s="9" t="s">
        <v>179</v>
      </c>
      <c r="J9" s="289">
        <v>1</v>
      </c>
      <c r="K9" s="289">
        <v>2</v>
      </c>
      <c r="L9" s="289">
        <v>3</v>
      </c>
      <c r="M9" s="289">
        <v>4</v>
      </c>
      <c r="N9" s="289">
        <v>5</v>
      </c>
      <c r="O9" s="289">
        <v>6</v>
      </c>
      <c r="P9" s="289">
        <v>7</v>
      </c>
      <c r="Q9" s="289">
        <v>8</v>
      </c>
      <c r="R9" s="289">
        <v>9</v>
      </c>
      <c r="S9" s="289">
        <v>10</v>
      </c>
      <c r="T9" s="289">
        <v>11</v>
      </c>
      <c r="U9" s="289">
        <v>12</v>
      </c>
      <c r="V9" s="289" t="s">
        <v>180</v>
      </c>
      <c r="W9" s="289" t="s">
        <v>181</v>
      </c>
      <c r="X9" s="289" t="s">
        <v>182</v>
      </c>
      <c r="Y9" s="20" t="s">
        <v>183</v>
      </c>
      <c r="Z9" s="6"/>
      <c r="AA9" s="6"/>
    </row>
    <row r="10" spans="1:27">
      <c r="A10" s="14" t="s">
        <v>184</v>
      </c>
      <c r="B10" s="14">
        <f t="shared" ref="B10:B22" si="0">A10+1</f>
        <v>39418</v>
      </c>
      <c r="C10" s="14">
        <f t="shared" ref="C10:C22" si="1">B10-1</f>
        <v>39417</v>
      </c>
      <c r="D10" s="13">
        <f t="shared" ref="D10:D22" si="2">MONTH(C10)</f>
        <v>12</v>
      </c>
      <c r="E10" s="12">
        <f t="shared" ref="E10:E22" si="3">YEAR(C10)</f>
        <v>2007</v>
      </c>
      <c r="F10" s="16">
        <v>131.60757304413301</v>
      </c>
      <c r="I10" s="9">
        <v>2007</v>
      </c>
      <c r="J10" s="289">
        <f t="shared" ref="J10:U26" si="4">SUMIFS($F:$F,$E:$E,$I10,$D:$D,J$9)</f>
        <v>0</v>
      </c>
      <c r="K10" s="289">
        <f t="shared" si="4"/>
        <v>0</v>
      </c>
      <c r="L10" s="289">
        <f t="shared" si="4"/>
        <v>0</v>
      </c>
      <c r="M10" s="289">
        <f t="shared" si="4"/>
        <v>0</v>
      </c>
      <c r="N10" s="289">
        <f t="shared" si="4"/>
        <v>0</v>
      </c>
      <c r="O10" s="289">
        <f t="shared" si="4"/>
        <v>0</v>
      </c>
      <c r="P10" s="289">
        <f t="shared" si="4"/>
        <v>0</v>
      </c>
      <c r="Q10" s="289">
        <f t="shared" si="4"/>
        <v>0</v>
      </c>
      <c r="R10" s="289">
        <f t="shared" si="4"/>
        <v>0</v>
      </c>
      <c r="S10" s="289">
        <f t="shared" si="4"/>
        <v>0</v>
      </c>
      <c r="T10" s="289">
        <f t="shared" si="4"/>
        <v>0</v>
      </c>
      <c r="U10" s="289">
        <f t="shared" si="4"/>
        <v>131.60757304413301</v>
      </c>
      <c r="V10" s="289">
        <f t="shared" ref="V10:V23" si="5">SUM(J10:U10)</f>
        <v>131.60757304413301</v>
      </c>
      <c r="W10" s="289">
        <f t="shared" ref="W10:W23" si="6">COUNTIFS(J10:U10,"&gt;"&amp;0)</f>
        <v>1</v>
      </c>
      <c r="X10" s="19">
        <f t="shared" ref="X10:X23" si="7">V10/W10</f>
        <v>131.60757304413301</v>
      </c>
    </row>
    <row r="11" spans="1:27" ht="14.4">
      <c r="A11" s="16" t="s">
        <v>185</v>
      </c>
      <c r="B11" s="14">
        <f t="shared" si="0"/>
        <v>39449</v>
      </c>
      <c r="C11" s="14">
        <f t="shared" si="1"/>
        <v>39448</v>
      </c>
      <c r="D11" s="13">
        <f t="shared" si="2"/>
        <v>1</v>
      </c>
      <c r="E11" s="12">
        <f t="shared" si="3"/>
        <v>2008</v>
      </c>
      <c r="F11" s="16">
        <v>130.93734396222499</v>
      </c>
      <c r="I11" s="9">
        <v>2008</v>
      </c>
      <c r="J11" s="289">
        <f t="shared" si="4"/>
        <v>130.93734396222499</v>
      </c>
      <c r="K11" s="289">
        <f t="shared" si="4"/>
        <v>130.258066612531</v>
      </c>
      <c r="L11" s="289">
        <f t="shared" si="4"/>
        <v>130.351559820126</v>
      </c>
      <c r="M11" s="289">
        <f t="shared" si="4"/>
        <v>130.19049222046999</v>
      </c>
      <c r="N11" s="289">
        <f t="shared" si="4"/>
        <v>130.12314202379</v>
      </c>
      <c r="O11" s="289">
        <f t="shared" si="4"/>
        <v>130.18471071949099</v>
      </c>
      <c r="P11" s="289">
        <f t="shared" si="4"/>
        <v>130.23330942256902</v>
      </c>
      <c r="Q11" s="289">
        <f t="shared" si="4"/>
        <v>129.61178349589599</v>
      </c>
      <c r="R11" s="289">
        <f t="shared" si="4"/>
        <v>128.75048809961001</v>
      </c>
      <c r="S11" s="289">
        <f t="shared" si="4"/>
        <v>127.693401281641</v>
      </c>
      <c r="T11" s="289">
        <f t="shared" si="4"/>
        <v>127.32755940397499</v>
      </c>
      <c r="U11" s="289">
        <f t="shared" si="4"/>
        <v>126.487125855942</v>
      </c>
      <c r="V11" s="289">
        <f t="shared" si="5"/>
        <v>1552.148982918266</v>
      </c>
      <c r="W11" s="289">
        <f t="shared" si="6"/>
        <v>12</v>
      </c>
      <c r="X11" s="19">
        <f t="shared" si="7"/>
        <v>129.34574857652217</v>
      </c>
      <c r="Y11" s="18">
        <f t="shared" ref="Y11:Y23" si="8">(X11/X10)-1</f>
        <v>-1.7186127023650521E-2</v>
      </c>
    </row>
    <row r="12" spans="1:27" ht="14.4">
      <c r="A12" s="16" t="s">
        <v>186</v>
      </c>
      <c r="B12" s="14">
        <f t="shared" si="0"/>
        <v>39480</v>
      </c>
      <c r="C12" s="14">
        <f t="shared" si="1"/>
        <v>39479</v>
      </c>
      <c r="D12" s="13">
        <f t="shared" si="2"/>
        <v>2</v>
      </c>
      <c r="E12" s="12">
        <f t="shared" si="3"/>
        <v>2008</v>
      </c>
      <c r="F12" s="16">
        <v>130.258066612531</v>
      </c>
      <c r="I12" s="9">
        <v>2009</v>
      </c>
      <c r="J12" s="289">
        <f t="shared" si="4"/>
        <v>124.45563909552</v>
      </c>
      <c r="K12" s="289">
        <f t="shared" si="4"/>
        <v>123.127480207153</v>
      </c>
      <c r="L12" s="289">
        <f t="shared" si="4"/>
        <v>123.314891589182</v>
      </c>
      <c r="M12" s="289">
        <f t="shared" si="4"/>
        <v>123.738417453297</v>
      </c>
      <c r="N12" s="289">
        <f t="shared" si="4"/>
        <v>124.02330854598101</v>
      </c>
      <c r="O12" s="289">
        <f t="shared" si="4"/>
        <v>125.27397032445299</v>
      </c>
      <c r="P12" s="289">
        <f t="shared" si="4"/>
        <v>126.28852638698</v>
      </c>
      <c r="Q12" s="289">
        <f t="shared" si="4"/>
        <v>127.028380905855</v>
      </c>
      <c r="R12" s="289">
        <f t="shared" si="4"/>
        <v>127.282889243464</v>
      </c>
      <c r="S12" s="289">
        <f t="shared" si="4"/>
        <v>127.592279105914</v>
      </c>
      <c r="T12" s="289">
        <f t="shared" si="4"/>
        <v>127.99435170434799</v>
      </c>
      <c r="U12" s="289">
        <f t="shared" si="4"/>
        <v>128.070568193919</v>
      </c>
      <c r="V12" s="289">
        <f t="shared" si="5"/>
        <v>1508.190702756066</v>
      </c>
      <c r="W12" s="289">
        <f t="shared" si="6"/>
        <v>12</v>
      </c>
      <c r="X12" s="19">
        <f t="shared" si="7"/>
        <v>125.6825585630055</v>
      </c>
      <c r="Y12" s="18">
        <f t="shared" si="8"/>
        <v>-2.8320915482966114E-2</v>
      </c>
    </row>
    <row r="13" spans="1:27" ht="14.4">
      <c r="A13" s="16" t="s">
        <v>187</v>
      </c>
      <c r="B13" s="14">
        <f t="shared" si="0"/>
        <v>39509</v>
      </c>
      <c r="C13" s="14">
        <f t="shared" si="1"/>
        <v>39508</v>
      </c>
      <c r="D13" s="13">
        <f t="shared" si="2"/>
        <v>3</v>
      </c>
      <c r="E13" s="12">
        <f t="shared" si="3"/>
        <v>2008</v>
      </c>
      <c r="F13" s="16">
        <v>130.351559820126</v>
      </c>
      <c r="I13" s="9">
        <v>2010</v>
      </c>
      <c r="J13" s="289">
        <f t="shared" si="4"/>
        <v>127.89512954912901</v>
      </c>
      <c r="K13" s="289">
        <f t="shared" si="4"/>
        <v>127.729066068919</v>
      </c>
      <c r="L13" s="289">
        <f t="shared" si="4"/>
        <v>128.343979227104</v>
      </c>
      <c r="M13" s="289">
        <f t="shared" si="4"/>
        <v>129.03094919405299</v>
      </c>
      <c r="N13" s="289">
        <f t="shared" si="4"/>
        <v>128.30072412413699</v>
      </c>
      <c r="O13" s="289">
        <f t="shared" si="4"/>
        <v>127.38053165717501</v>
      </c>
      <c r="P13" s="289">
        <f t="shared" si="4"/>
        <v>126.185859123094</v>
      </c>
      <c r="Q13" s="289">
        <f t="shared" si="4"/>
        <v>125.64552798830201</v>
      </c>
      <c r="R13" s="289">
        <f t="shared" si="4"/>
        <v>125.30652816222999</v>
      </c>
      <c r="S13" s="289">
        <f t="shared" si="4"/>
        <v>125.39844533028798</v>
      </c>
      <c r="T13" s="289">
        <f t="shared" si="4"/>
        <v>124.814072936979</v>
      </c>
      <c r="U13" s="289">
        <f t="shared" si="4"/>
        <v>125.07608767986099</v>
      </c>
      <c r="V13" s="289">
        <f t="shared" si="5"/>
        <v>1521.1069010412712</v>
      </c>
      <c r="W13" s="289">
        <f t="shared" si="6"/>
        <v>12</v>
      </c>
      <c r="X13" s="19">
        <f t="shared" si="7"/>
        <v>126.75890842010593</v>
      </c>
      <c r="Y13" s="18">
        <f t="shared" si="8"/>
        <v>8.5640352122593466E-3</v>
      </c>
    </row>
    <row r="14" spans="1:27" ht="14.4">
      <c r="A14" s="16" t="s">
        <v>188</v>
      </c>
      <c r="B14" s="14">
        <f t="shared" si="0"/>
        <v>39540</v>
      </c>
      <c r="C14" s="14">
        <f t="shared" si="1"/>
        <v>39539</v>
      </c>
      <c r="D14" s="13">
        <f t="shared" si="2"/>
        <v>4</v>
      </c>
      <c r="E14" s="12">
        <f t="shared" si="3"/>
        <v>2008</v>
      </c>
      <c r="F14" s="16">
        <v>130.19049222046999</v>
      </c>
      <c r="I14" s="9">
        <v>2011</v>
      </c>
      <c r="J14" s="289">
        <f t="shared" si="4"/>
        <v>124.991907686213</v>
      </c>
      <c r="K14" s="289">
        <f t="shared" si="4"/>
        <v>124.37826226145599</v>
      </c>
      <c r="L14" s="289">
        <f t="shared" si="4"/>
        <v>123.276555678016</v>
      </c>
      <c r="M14" s="289">
        <f t="shared" si="4"/>
        <v>123.575964374983</v>
      </c>
      <c r="N14" s="289">
        <f t="shared" si="4"/>
        <v>123.778581433395</v>
      </c>
      <c r="O14" s="289">
        <f t="shared" si="4"/>
        <v>124.152000944956</v>
      </c>
      <c r="P14" s="289">
        <f t="shared" si="4"/>
        <v>123.560317918078</v>
      </c>
      <c r="Q14" s="289">
        <f t="shared" si="4"/>
        <v>123.81608518139099</v>
      </c>
      <c r="R14" s="289">
        <f t="shared" si="4"/>
        <v>123.739820229687</v>
      </c>
      <c r="S14" s="289">
        <f t="shared" si="4"/>
        <v>124.379925311847</v>
      </c>
      <c r="T14" s="289">
        <f t="shared" si="4"/>
        <v>124.73168668802099</v>
      </c>
      <c r="U14" s="289">
        <f t="shared" si="4"/>
        <v>124.682512751658</v>
      </c>
      <c r="V14" s="289">
        <f t="shared" si="5"/>
        <v>1489.063620459701</v>
      </c>
      <c r="W14" s="289">
        <f t="shared" si="6"/>
        <v>12</v>
      </c>
      <c r="X14" s="19">
        <f t="shared" si="7"/>
        <v>124.08863503830842</v>
      </c>
      <c r="Y14" s="18">
        <f t="shared" si="8"/>
        <v>-2.1065765042308837E-2</v>
      </c>
    </row>
    <row r="15" spans="1:27" ht="14.4">
      <c r="A15" s="16" t="s">
        <v>189</v>
      </c>
      <c r="B15" s="14">
        <f t="shared" si="0"/>
        <v>39570</v>
      </c>
      <c r="C15" s="14">
        <f t="shared" si="1"/>
        <v>39569</v>
      </c>
      <c r="D15" s="13">
        <f t="shared" si="2"/>
        <v>5</v>
      </c>
      <c r="E15" s="12">
        <f t="shared" si="3"/>
        <v>2008</v>
      </c>
      <c r="F15" s="16">
        <v>130.12314202379</v>
      </c>
      <c r="I15" s="9">
        <v>2012</v>
      </c>
      <c r="J15" s="289">
        <f t="shared" si="4"/>
        <v>125.11644131656401</v>
      </c>
      <c r="K15" s="289">
        <f t="shared" si="4"/>
        <v>124.83067001819599</v>
      </c>
      <c r="L15" s="289">
        <f t="shared" si="4"/>
        <v>126.10573322264401</v>
      </c>
      <c r="M15" s="289">
        <f t="shared" si="4"/>
        <v>126.82324567550501</v>
      </c>
      <c r="N15" s="289">
        <f t="shared" si="4"/>
        <v>128.09834421619701</v>
      </c>
      <c r="O15" s="289">
        <f t="shared" si="4"/>
        <v>129.19516899552201</v>
      </c>
      <c r="P15" s="289">
        <f t="shared" si="4"/>
        <v>130.374559574561</v>
      </c>
      <c r="Q15" s="289">
        <f t="shared" si="4"/>
        <v>130.953101231224</v>
      </c>
      <c r="R15" s="289">
        <f t="shared" si="4"/>
        <v>132.28024295585601</v>
      </c>
      <c r="S15" s="289">
        <f t="shared" si="4"/>
        <v>133.154578114104</v>
      </c>
      <c r="T15" s="289">
        <f t="shared" si="4"/>
        <v>134.618818349636</v>
      </c>
      <c r="U15" s="289">
        <f t="shared" si="4"/>
        <v>135.39847475256099</v>
      </c>
      <c r="V15" s="289">
        <f t="shared" si="5"/>
        <v>1556.9493784225699</v>
      </c>
      <c r="W15" s="289">
        <f t="shared" si="6"/>
        <v>12</v>
      </c>
      <c r="X15" s="19">
        <f t="shared" si="7"/>
        <v>129.74578153521415</v>
      </c>
      <c r="Y15" s="18">
        <f t="shared" si="8"/>
        <v>4.5589561809260548E-2</v>
      </c>
    </row>
    <row r="16" spans="1:27" ht="14.4">
      <c r="A16" s="16" t="s">
        <v>190</v>
      </c>
      <c r="B16" s="14">
        <f t="shared" si="0"/>
        <v>39601</v>
      </c>
      <c r="C16" s="14">
        <f t="shared" si="1"/>
        <v>39600</v>
      </c>
      <c r="D16" s="13">
        <f t="shared" si="2"/>
        <v>6</v>
      </c>
      <c r="E16" s="12">
        <f t="shared" si="3"/>
        <v>2008</v>
      </c>
      <c r="F16" s="16">
        <v>130.18471071949099</v>
      </c>
      <c r="I16" s="9">
        <v>2013</v>
      </c>
      <c r="J16" s="289">
        <f t="shared" si="4"/>
        <v>136.46781353997699</v>
      </c>
      <c r="K16" s="289">
        <f t="shared" si="4"/>
        <v>136.98961323973498</v>
      </c>
      <c r="L16" s="289">
        <f t="shared" si="4"/>
        <v>138.008904574789</v>
      </c>
      <c r="M16" s="289">
        <f t="shared" si="4"/>
        <v>139.026619259477</v>
      </c>
      <c r="N16" s="289">
        <f t="shared" si="4"/>
        <v>140.35365358066602</v>
      </c>
      <c r="O16" s="289">
        <f t="shared" si="4"/>
        <v>141.41686785410201</v>
      </c>
      <c r="P16" s="289">
        <f t="shared" si="4"/>
        <v>143.16116357451699</v>
      </c>
      <c r="Q16" s="289">
        <f t="shared" si="4"/>
        <v>144.53078197681802</v>
      </c>
      <c r="R16" s="289">
        <f t="shared" si="4"/>
        <v>145.68572576749798</v>
      </c>
      <c r="S16" s="289">
        <f t="shared" si="4"/>
        <v>146.06144162318199</v>
      </c>
      <c r="T16" s="289">
        <f t="shared" si="4"/>
        <v>146.770681348989</v>
      </c>
      <c r="U16" s="289">
        <f t="shared" si="4"/>
        <v>147.70269501397701</v>
      </c>
      <c r="V16" s="289">
        <f t="shared" si="5"/>
        <v>1706.1759613537272</v>
      </c>
      <c r="W16" s="289">
        <f t="shared" si="6"/>
        <v>12</v>
      </c>
      <c r="X16" s="19">
        <f t="shared" si="7"/>
        <v>142.1813301128106</v>
      </c>
      <c r="Y16" s="18">
        <f t="shared" si="8"/>
        <v>9.584549440030421E-2</v>
      </c>
      <c r="Z16" s="17"/>
      <c r="AA16" s="17"/>
    </row>
    <row r="17" spans="1:27" ht="14.4">
      <c r="A17" s="16" t="s">
        <v>191</v>
      </c>
      <c r="B17" s="14">
        <f t="shared" si="0"/>
        <v>39631</v>
      </c>
      <c r="C17" s="14">
        <f t="shared" si="1"/>
        <v>39630</v>
      </c>
      <c r="D17" s="13">
        <f t="shared" si="2"/>
        <v>7</v>
      </c>
      <c r="E17" s="12">
        <f t="shared" si="3"/>
        <v>2008</v>
      </c>
      <c r="F17" s="16">
        <v>130.23330942256902</v>
      </c>
      <c r="I17" s="9">
        <v>2014</v>
      </c>
      <c r="J17" s="289">
        <f t="shared" si="4"/>
        <v>148.623659354116</v>
      </c>
      <c r="K17" s="289">
        <f t="shared" si="4"/>
        <v>149.15721903107499</v>
      </c>
      <c r="L17" s="289">
        <f t="shared" si="4"/>
        <v>150.10434349728399</v>
      </c>
      <c r="M17" s="289">
        <f t="shared" si="4"/>
        <v>150.98390825165299</v>
      </c>
      <c r="N17" s="289">
        <f t="shared" si="4"/>
        <v>151.74037157418502</v>
      </c>
      <c r="O17" s="289">
        <f t="shared" si="4"/>
        <v>152.40721786303999</v>
      </c>
      <c r="P17" s="289">
        <f t="shared" si="4"/>
        <v>152.93435836869199</v>
      </c>
      <c r="Q17" s="289">
        <f t="shared" si="4"/>
        <v>153.93789344215</v>
      </c>
      <c r="R17" s="289">
        <f t="shared" si="4"/>
        <v>155.00999255334801</v>
      </c>
      <c r="S17" s="289">
        <f t="shared" si="4"/>
        <v>156.749793297157</v>
      </c>
      <c r="T17" s="289">
        <f t="shared" si="4"/>
        <v>157.87632660330499</v>
      </c>
      <c r="U17" s="289">
        <f t="shared" si="4"/>
        <v>159.81154747150802</v>
      </c>
      <c r="V17" s="289">
        <f t="shared" si="5"/>
        <v>1839.336631307513</v>
      </c>
      <c r="W17" s="289">
        <f t="shared" si="6"/>
        <v>12</v>
      </c>
      <c r="X17" s="19">
        <f t="shared" si="7"/>
        <v>153.27805260895943</v>
      </c>
      <c r="Y17" s="18">
        <f t="shared" si="8"/>
        <v>7.8046270121009398E-2</v>
      </c>
      <c r="Z17" s="17"/>
      <c r="AA17" s="17"/>
    </row>
    <row r="18" spans="1:27" ht="14.4">
      <c r="A18" s="16" t="s">
        <v>192</v>
      </c>
      <c r="B18" s="14">
        <f t="shared" si="0"/>
        <v>39662</v>
      </c>
      <c r="C18" s="14">
        <f t="shared" si="1"/>
        <v>39661</v>
      </c>
      <c r="D18" s="13">
        <f t="shared" si="2"/>
        <v>8</v>
      </c>
      <c r="E18" s="12">
        <f t="shared" si="3"/>
        <v>2008</v>
      </c>
      <c r="F18" s="16">
        <v>129.61178349589599</v>
      </c>
      <c r="I18" s="9">
        <v>2015</v>
      </c>
      <c r="J18" s="289">
        <f t="shared" si="4"/>
        <v>161.02449532650201</v>
      </c>
      <c r="K18" s="289">
        <f t="shared" si="4"/>
        <v>163.65770901399699</v>
      </c>
      <c r="L18" s="289">
        <f t="shared" si="4"/>
        <v>164.48796595531999</v>
      </c>
      <c r="M18" s="289">
        <f t="shared" si="4"/>
        <v>166.02975484501101</v>
      </c>
      <c r="N18" s="289">
        <f t="shared" si="4"/>
        <v>166.770042539797</v>
      </c>
      <c r="O18" s="289">
        <f t="shared" si="4"/>
        <v>168.00867291738899</v>
      </c>
      <c r="P18" s="289">
        <f t="shared" si="4"/>
        <v>168.875106579278</v>
      </c>
      <c r="Q18" s="289">
        <f t="shared" si="4"/>
        <v>170.715803658515</v>
      </c>
      <c r="R18" s="289">
        <f t="shared" si="4"/>
        <v>172.25724558228001</v>
      </c>
      <c r="S18" s="289">
        <f t="shared" si="4"/>
        <v>174.061491117016</v>
      </c>
      <c r="T18" s="289">
        <f t="shared" si="4"/>
        <v>175.28375814175499</v>
      </c>
      <c r="U18" s="289">
        <f t="shared" si="4"/>
        <v>176.19104697667899</v>
      </c>
      <c r="V18" s="289">
        <f t="shared" si="5"/>
        <v>2027.3630926535391</v>
      </c>
      <c r="W18" s="289">
        <f t="shared" si="6"/>
        <v>12</v>
      </c>
      <c r="X18" s="19">
        <f t="shared" si="7"/>
        <v>168.94692438779492</v>
      </c>
      <c r="Y18" s="18">
        <f t="shared" si="8"/>
        <v>0.10222514908125602</v>
      </c>
      <c r="Z18" s="17"/>
      <c r="AA18" s="17"/>
    </row>
    <row r="19" spans="1:27" ht="14.4">
      <c r="A19" s="16" t="s">
        <v>193</v>
      </c>
      <c r="B19" s="14">
        <f t="shared" si="0"/>
        <v>39693</v>
      </c>
      <c r="C19" s="14">
        <f t="shared" si="1"/>
        <v>39692</v>
      </c>
      <c r="D19" s="13">
        <f t="shared" si="2"/>
        <v>9</v>
      </c>
      <c r="E19" s="12">
        <f t="shared" si="3"/>
        <v>2008</v>
      </c>
      <c r="F19" s="16">
        <v>128.75048809961001</v>
      </c>
      <c r="I19" s="9">
        <v>2016</v>
      </c>
      <c r="J19" s="289">
        <f t="shared" si="4"/>
        <v>177.39325620246299</v>
      </c>
      <c r="K19" s="289">
        <f t="shared" si="4"/>
        <v>179.18758612265597</v>
      </c>
      <c r="L19" s="289">
        <f t="shared" si="4"/>
        <v>180.29816230144101</v>
      </c>
      <c r="M19" s="289">
        <f t="shared" si="4"/>
        <v>181.32559892057998</v>
      </c>
      <c r="N19" s="289">
        <f t="shared" si="4"/>
        <v>182.42454453257801</v>
      </c>
      <c r="O19" s="289">
        <f t="shared" si="4"/>
        <v>183.55733191402902</v>
      </c>
      <c r="P19" s="289">
        <f t="shared" si="4"/>
        <v>185.00782931500001</v>
      </c>
      <c r="Q19" s="289">
        <f t="shared" si="4"/>
        <v>186.135754889287</v>
      </c>
      <c r="R19" s="289">
        <f t="shared" si="4"/>
        <v>187.660245145299</v>
      </c>
      <c r="S19" s="289">
        <f t="shared" si="4"/>
        <v>188.78990337538301</v>
      </c>
      <c r="T19" s="289">
        <f t="shared" si="4"/>
        <v>190.82822807850602</v>
      </c>
      <c r="U19" s="289">
        <f t="shared" si="4"/>
        <v>192.03254532568198</v>
      </c>
      <c r="V19" s="289">
        <f t="shared" si="5"/>
        <v>2214.640986122904</v>
      </c>
      <c r="W19" s="289">
        <f t="shared" si="6"/>
        <v>12</v>
      </c>
      <c r="X19" s="19">
        <f t="shared" si="7"/>
        <v>184.55341551024199</v>
      </c>
      <c r="Y19" s="18">
        <f t="shared" si="8"/>
        <v>9.2375112355549405E-2</v>
      </c>
      <c r="Z19" s="17"/>
      <c r="AA19" s="17"/>
    </row>
    <row r="20" spans="1:27" ht="14.4">
      <c r="A20" s="16" t="s">
        <v>194</v>
      </c>
      <c r="B20" s="14">
        <f t="shared" si="0"/>
        <v>39723</v>
      </c>
      <c r="C20" s="14">
        <f t="shared" si="1"/>
        <v>39722</v>
      </c>
      <c r="D20" s="13">
        <f t="shared" si="2"/>
        <v>10</v>
      </c>
      <c r="E20" s="12">
        <f t="shared" si="3"/>
        <v>2008</v>
      </c>
      <c r="F20" s="16">
        <v>127.693401281641</v>
      </c>
      <c r="I20" s="9">
        <v>2017</v>
      </c>
      <c r="J20" s="289">
        <f t="shared" si="4"/>
        <v>193.56965682317403</v>
      </c>
      <c r="K20" s="289">
        <f t="shared" si="4"/>
        <v>194.43528494074698</v>
      </c>
      <c r="L20" s="289">
        <f t="shared" si="4"/>
        <v>194.754132502602</v>
      </c>
      <c r="M20" s="289">
        <f t="shared" si="4"/>
        <v>195.58069897585401</v>
      </c>
      <c r="N20" s="289">
        <f t="shared" si="4"/>
        <v>196.53113579741401</v>
      </c>
      <c r="O20" s="289">
        <f t="shared" si="4"/>
        <v>197.424460763534</v>
      </c>
      <c r="P20" s="289">
        <f t="shared" si="4"/>
        <v>198.57132126243198</v>
      </c>
      <c r="Q20" s="289">
        <f t="shared" si="4"/>
        <v>199.89834719530899</v>
      </c>
      <c r="R20" s="289">
        <f t="shared" si="4"/>
        <v>201.27201238356801</v>
      </c>
      <c r="S20" s="289">
        <f t="shared" si="4"/>
        <v>202.64360547653899</v>
      </c>
      <c r="T20" s="289">
        <f t="shared" si="4"/>
        <v>204.34816595425801</v>
      </c>
      <c r="U20" s="289">
        <f t="shared" si="4"/>
        <v>206.53227683337897</v>
      </c>
      <c r="V20" s="289">
        <f t="shared" si="5"/>
        <v>2385.56109890881</v>
      </c>
      <c r="W20" s="289">
        <f t="shared" si="6"/>
        <v>12</v>
      </c>
      <c r="X20" s="19">
        <f t="shared" si="7"/>
        <v>198.79675824240084</v>
      </c>
      <c r="Y20" s="18">
        <f t="shared" si="8"/>
        <v>7.717734560901901E-2</v>
      </c>
      <c r="Z20" s="17"/>
      <c r="AA20" s="17"/>
    </row>
    <row r="21" spans="1:27" ht="14.4">
      <c r="A21" s="16" t="s">
        <v>195</v>
      </c>
      <c r="B21" s="14">
        <f t="shared" si="0"/>
        <v>39754</v>
      </c>
      <c r="C21" s="14">
        <f t="shared" si="1"/>
        <v>39753</v>
      </c>
      <c r="D21" s="13">
        <f t="shared" si="2"/>
        <v>11</v>
      </c>
      <c r="E21" s="12">
        <f t="shared" si="3"/>
        <v>2008</v>
      </c>
      <c r="F21" s="16">
        <v>127.32755940397499</v>
      </c>
      <c r="I21" s="9">
        <v>2018</v>
      </c>
      <c r="J21" s="289">
        <f t="shared" si="4"/>
        <v>208.35625440845797</v>
      </c>
      <c r="K21" s="289">
        <f t="shared" si="4"/>
        <v>210.54581889208697</v>
      </c>
      <c r="L21" s="289">
        <f t="shared" si="4"/>
        <v>211.01809158836602</v>
      </c>
      <c r="M21" s="289">
        <f t="shared" si="4"/>
        <v>211.91022677965302</v>
      </c>
      <c r="N21" s="289">
        <f t="shared" si="4"/>
        <v>212.84487296069699</v>
      </c>
      <c r="O21" s="289">
        <f t="shared" si="4"/>
        <v>213.56151155726897</v>
      </c>
      <c r="P21" s="289">
        <f t="shared" si="4"/>
        <v>214.48544538632498</v>
      </c>
      <c r="Q21" s="289">
        <f t="shared" si="4"/>
        <v>215.379019370321</v>
      </c>
      <c r="R21" s="289">
        <f t="shared" si="4"/>
        <v>216.303013778555</v>
      </c>
      <c r="S21" s="289">
        <f t="shared" si="4"/>
        <v>217.080092814789</v>
      </c>
      <c r="T21" s="289">
        <f t="shared" si="4"/>
        <v>217.464695106227</v>
      </c>
      <c r="U21" s="289">
        <f t="shared" si="4"/>
        <v>218.20572888128601</v>
      </c>
      <c r="V21" s="289">
        <f t="shared" si="5"/>
        <v>2567.1547715240326</v>
      </c>
      <c r="W21" s="289">
        <f t="shared" si="6"/>
        <v>12</v>
      </c>
      <c r="X21" s="19">
        <f t="shared" si="7"/>
        <v>213.92956429366939</v>
      </c>
      <c r="Y21" s="18">
        <f t="shared" si="8"/>
        <v>7.6121996078107657E-2</v>
      </c>
      <c r="Z21" s="17"/>
      <c r="AA21" s="17"/>
    </row>
    <row r="22" spans="1:27" ht="14.4">
      <c r="A22" s="16" t="s">
        <v>196</v>
      </c>
      <c r="B22" s="14">
        <f t="shared" si="0"/>
        <v>39784</v>
      </c>
      <c r="C22" s="14">
        <f t="shared" si="1"/>
        <v>39783</v>
      </c>
      <c r="D22" s="13">
        <f t="shared" si="2"/>
        <v>12</v>
      </c>
      <c r="E22" s="12">
        <f t="shared" si="3"/>
        <v>2008</v>
      </c>
      <c r="F22" s="16">
        <v>126.487125855942</v>
      </c>
      <c r="I22" s="9">
        <v>2019</v>
      </c>
      <c r="J22" s="289">
        <f t="shared" si="4"/>
        <v>218.98595475039599</v>
      </c>
      <c r="K22" s="25">
        <f t="shared" si="4"/>
        <v>220.45832352036598</v>
      </c>
      <c r="L22" s="25">
        <f t="shared" si="4"/>
        <v>219.62794952796099</v>
      </c>
      <c r="M22" s="25">
        <f t="shared" si="4"/>
        <v>219.554172034407</v>
      </c>
      <c r="N22" s="25">
        <f t="shared" si="4"/>
        <v>219.94662939032099</v>
      </c>
      <c r="O22" s="25">
        <f t="shared" si="4"/>
        <v>220.429286596352</v>
      </c>
      <c r="P22" s="25">
        <f t="shared" si="4"/>
        <v>220.88442494959099</v>
      </c>
      <c r="Q22" s="25">
        <f t="shared" si="4"/>
        <v>221.72454485477402</v>
      </c>
      <c r="R22" s="25">
        <f t="shared" si="4"/>
        <v>223.01514745675399</v>
      </c>
      <c r="S22" s="25">
        <f t="shared" si="4"/>
        <v>224.58413694879502</v>
      </c>
      <c r="T22" s="25">
        <f t="shared" si="4"/>
        <v>225.80796969796299</v>
      </c>
      <c r="U22" s="25">
        <f t="shared" si="4"/>
        <v>226.74607862087899</v>
      </c>
      <c r="V22" s="25">
        <f t="shared" si="5"/>
        <v>2661.764618348559</v>
      </c>
      <c r="W22" s="25">
        <f t="shared" si="6"/>
        <v>12</v>
      </c>
      <c r="X22" s="164">
        <f t="shared" si="7"/>
        <v>221.81371819571325</v>
      </c>
      <c r="Y22" s="18">
        <f t="shared" si="8"/>
        <v>3.685397073599872E-2</v>
      </c>
    </row>
    <row r="23" spans="1:27" ht="14.4">
      <c r="A23" s="16" t="s">
        <v>197</v>
      </c>
      <c r="B23" s="14">
        <f t="shared" ref="B23:B41" si="9">A23+1</f>
        <v>39815</v>
      </c>
      <c r="C23" s="14">
        <f t="shared" ref="C23:C41" si="10">B23-1</f>
        <v>39814</v>
      </c>
      <c r="D23" s="13">
        <f t="shared" ref="D23:D41" si="11">MONTH(C23)</f>
        <v>1</v>
      </c>
      <c r="E23" s="12">
        <f t="shared" ref="E23:E41" si="12">YEAR(C23)</f>
        <v>2009</v>
      </c>
      <c r="F23" s="16">
        <v>124.45563909552</v>
      </c>
      <c r="I23" s="9">
        <v>2020</v>
      </c>
      <c r="J23" s="289">
        <f t="shared" si="4"/>
        <v>227.46925491241001</v>
      </c>
      <c r="K23" s="25">
        <f t="shared" si="4"/>
        <v>228.24646321377102</v>
      </c>
      <c r="L23" s="25">
        <f t="shared" si="4"/>
        <v>227.58148385579</v>
      </c>
      <c r="M23" s="25">
        <f t="shared" si="4"/>
        <v>227.77825040458501</v>
      </c>
      <c r="N23" s="25">
        <f t="shared" si="4"/>
        <v>228.039369803656</v>
      </c>
      <c r="O23" s="25">
        <f t="shared" si="4"/>
        <v>228.856855488485</v>
      </c>
      <c r="P23" s="25">
        <f t="shared" si="4"/>
        <v>230.287017531983</v>
      </c>
      <c r="Q23" s="25">
        <f t="shared" si="4"/>
        <v>233.48580772168</v>
      </c>
      <c r="R23" s="25">
        <f t="shared" si="4"/>
        <v>236.64309858984501</v>
      </c>
      <c r="S23" s="25">
        <f t="shared" si="4"/>
        <v>240.74831992300599</v>
      </c>
      <c r="T23" s="25">
        <f t="shared" si="4"/>
        <v>244.52842069665201</v>
      </c>
      <c r="U23" s="25">
        <f t="shared" si="4"/>
        <v>248.23411174213501</v>
      </c>
      <c r="V23" s="25">
        <f t="shared" si="5"/>
        <v>2801.8984538839986</v>
      </c>
      <c r="W23" s="25">
        <f t="shared" si="6"/>
        <v>12</v>
      </c>
      <c r="X23" s="164">
        <f t="shared" si="7"/>
        <v>233.49153782366656</v>
      </c>
      <c r="Y23" s="18">
        <f t="shared" si="8"/>
        <v>5.2646967567847147E-2</v>
      </c>
    </row>
    <row r="24" spans="1:27" ht="14.4">
      <c r="A24" s="16" t="s">
        <v>198</v>
      </c>
      <c r="B24" s="14">
        <f t="shared" si="9"/>
        <v>39846</v>
      </c>
      <c r="C24" s="14">
        <f t="shared" si="10"/>
        <v>39845</v>
      </c>
      <c r="D24" s="13">
        <f t="shared" si="11"/>
        <v>2</v>
      </c>
      <c r="E24" s="12">
        <f t="shared" si="12"/>
        <v>2009</v>
      </c>
      <c r="F24" s="16">
        <v>123.127480207153</v>
      </c>
      <c r="I24" s="9">
        <v>2021</v>
      </c>
      <c r="J24" s="289">
        <f t="shared" si="4"/>
        <v>250.82892926780201</v>
      </c>
      <c r="K24" s="25">
        <f t="shared" si="4"/>
        <v>254.609898015298</v>
      </c>
      <c r="L24" s="25">
        <f t="shared" si="4"/>
        <v>258.32096362742601</v>
      </c>
      <c r="M24" s="25">
        <f t="shared" si="4"/>
        <v>262.322796585167</v>
      </c>
      <c r="N24" s="25">
        <f t="shared" si="4"/>
        <v>267.26627580486002</v>
      </c>
      <c r="O24" s="25">
        <f t="shared" si="4"/>
        <v>273.34100063557901</v>
      </c>
      <c r="P24" s="25">
        <f t="shared" si="4"/>
        <v>278.99505791833099</v>
      </c>
      <c r="Q24" s="25">
        <f t="shared" si="4"/>
        <v>283.713111086288</v>
      </c>
      <c r="R24" s="25">
        <f t="shared" si="4"/>
        <v>287.01058469494097</v>
      </c>
      <c r="S24" s="25">
        <f t="shared" si="4"/>
        <v>289.96558943060199</v>
      </c>
      <c r="T24" s="25">
        <f t="shared" si="4"/>
        <v>293.99152806023602</v>
      </c>
      <c r="U24" s="25">
        <f t="shared" si="4"/>
        <v>299.10966336949701</v>
      </c>
      <c r="V24" s="25">
        <f t="shared" ref="V24:V33" si="13">SUM(J24:U24)</f>
        <v>3299.4753984960266</v>
      </c>
      <c r="W24" s="25">
        <f t="shared" ref="W24:W33" si="14">COUNTIFS(J24:U24,"&gt;"&amp;0)</f>
        <v>12</v>
      </c>
      <c r="X24" s="164">
        <f>IF(W24=0,X23,V24/W24)</f>
        <v>274.95628320800222</v>
      </c>
      <c r="Y24" s="18">
        <f t="shared" ref="Y24:Y33" si="15">(X24/X23)-1</f>
        <v>0.17758564516222397</v>
      </c>
    </row>
    <row r="25" spans="1:27" ht="14.4">
      <c r="A25" s="16" t="s">
        <v>199</v>
      </c>
      <c r="B25" s="14">
        <f t="shared" si="9"/>
        <v>39874</v>
      </c>
      <c r="C25" s="14">
        <f t="shared" si="10"/>
        <v>39873</v>
      </c>
      <c r="D25" s="13">
        <f t="shared" si="11"/>
        <v>3</v>
      </c>
      <c r="E25" s="12">
        <f t="shared" si="12"/>
        <v>2009</v>
      </c>
      <c r="F25" s="16">
        <v>123.314891589182</v>
      </c>
      <c r="I25" s="9">
        <v>2022</v>
      </c>
      <c r="J25" s="289">
        <f t="shared" si="4"/>
        <v>303.26937343190798</v>
      </c>
      <c r="K25" s="25">
        <f t="shared" si="4"/>
        <v>311.51429087662899</v>
      </c>
      <c r="L25" s="25">
        <f t="shared" si="4"/>
        <v>319.18670926879201</v>
      </c>
      <c r="M25" s="25">
        <f t="shared" si="4"/>
        <v>323.73747345330503</v>
      </c>
      <c r="N25" s="25">
        <f t="shared" si="4"/>
        <v>326.029381672314</v>
      </c>
      <c r="O25" s="25">
        <f t="shared" si="4"/>
        <v>325.6823944102</v>
      </c>
      <c r="P25" s="25">
        <f t="shared" si="4"/>
        <v>322.16357190243502</v>
      </c>
      <c r="Q25" s="25">
        <f t="shared" si="4"/>
        <v>317.64109925363095</v>
      </c>
      <c r="R25" s="25">
        <f t="shared" si="4"/>
        <v>313.80983398409097</v>
      </c>
      <c r="S25" s="25">
        <f t="shared" si="4"/>
        <v>313.14322585217002</v>
      </c>
      <c r="T25" s="25">
        <f t="shared" si="4"/>
        <v>312.327426656694</v>
      </c>
      <c r="U25" s="25">
        <f t="shared" si="4"/>
        <v>310.163936345553</v>
      </c>
      <c r="V25" s="25">
        <f t="shared" si="13"/>
        <v>3798.6687171077224</v>
      </c>
      <c r="W25" s="25">
        <f t="shared" si="14"/>
        <v>12</v>
      </c>
      <c r="X25" s="164">
        <f t="shared" ref="X25:X33" si="16">IF(W25=0,X24,V25/W25)</f>
        <v>316.55572642564351</v>
      </c>
      <c r="Y25" s="18">
        <f t="shared" si="15"/>
        <v>0.15129475395974734</v>
      </c>
    </row>
    <row r="26" spans="1:27" ht="14.4">
      <c r="A26" s="16" t="s">
        <v>200</v>
      </c>
      <c r="B26" s="14">
        <f t="shared" si="9"/>
        <v>39905</v>
      </c>
      <c r="C26" s="14">
        <f t="shared" si="10"/>
        <v>39904</v>
      </c>
      <c r="D26" s="13">
        <f t="shared" si="11"/>
        <v>4</v>
      </c>
      <c r="E26" s="12">
        <f t="shared" si="12"/>
        <v>2009</v>
      </c>
      <c r="F26" s="16">
        <v>123.738417453297</v>
      </c>
      <c r="I26" s="9">
        <v>2023</v>
      </c>
      <c r="J26" s="289">
        <f t="shared" si="4"/>
        <v>306.55985037716204</v>
      </c>
      <c r="K26" s="25">
        <f t="shared" si="4"/>
        <v>307.87059022842101</v>
      </c>
      <c r="L26" s="25">
        <f t="shared" si="4"/>
        <v>307.68974232963899</v>
      </c>
      <c r="M26" s="25">
        <f t="shared" si="4"/>
        <v>308.77264170070902</v>
      </c>
      <c r="N26" s="25">
        <f t="shared" si="4"/>
        <v>309.908407818375</v>
      </c>
      <c r="O26" s="25">
        <f t="shared" si="4"/>
        <v>311.223892290751</v>
      </c>
      <c r="P26" s="25">
        <f t="shared" si="4"/>
        <v>312.84473616972696</v>
      </c>
      <c r="Q26" s="25">
        <f t="shared" si="4"/>
        <v>315.623918872079</v>
      </c>
      <c r="R26" s="25">
        <f t="shared" si="4"/>
        <v>317.14454997153899</v>
      </c>
      <c r="S26" s="25">
        <f t="shared" si="4"/>
        <v>318.23748631764801</v>
      </c>
      <c r="T26" s="25">
        <f t="shared" si="4"/>
        <v>317.13084792934001</v>
      </c>
      <c r="U26" s="25">
        <f t="shared" si="4"/>
        <v>317.50703079865298</v>
      </c>
      <c r="V26" s="25">
        <f t="shared" si="13"/>
        <v>3750.5136948040431</v>
      </c>
      <c r="W26" s="25">
        <f t="shared" si="14"/>
        <v>12</v>
      </c>
      <c r="X26" s="164">
        <f t="shared" si="16"/>
        <v>312.54280790033692</v>
      </c>
      <c r="Y26" s="18">
        <f t="shared" si="15"/>
        <v>-1.2676815455585189E-2</v>
      </c>
    </row>
    <row r="27" spans="1:27" ht="14.4">
      <c r="A27" s="16" t="s">
        <v>201</v>
      </c>
      <c r="B27" s="14">
        <f t="shared" si="9"/>
        <v>39935</v>
      </c>
      <c r="C27" s="14">
        <f t="shared" si="10"/>
        <v>39934</v>
      </c>
      <c r="D27" s="13">
        <f t="shared" si="11"/>
        <v>5</v>
      </c>
      <c r="E27" s="12">
        <f t="shared" si="12"/>
        <v>2009</v>
      </c>
      <c r="F27" s="16">
        <v>124.02330854598101</v>
      </c>
      <c r="I27" s="9">
        <v>2024</v>
      </c>
      <c r="V27" s="25">
        <f t="shared" si="13"/>
        <v>0</v>
      </c>
      <c r="W27" s="25">
        <f t="shared" si="14"/>
        <v>0</v>
      </c>
      <c r="X27" s="164">
        <f t="shared" si="16"/>
        <v>312.54280790033692</v>
      </c>
      <c r="Y27" s="18">
        <f t="shared" si="15"/>
        <v>0</v>
      </c>
    </row>
    <row r="28" spans="1:27" ht="14.4">
      <c r="A28" s="16" t="s">
        <v>202</v>
      </c>
      <c r="B28" s="14">
        <f t="shared" si="9"/>
        <v>39966</v>
      </c>
      <c r="C28" s="14">
        <f t="shared" si="10"/>
        <v>39965</v>
      </c>
      <c r="D28" s="13">
        <f t="shared" si="11"/>
        <v>6</v>
      </c>
      <c r="E28" s="12">
        <f t="shared" si="12"/>
        <v>2009</v>
      </c>
      <c r="F28" s="16">
        <v>125.27397032445299</v>
      </c>
      <c r="I28" s="9">
        <v>2025</v>
      </c>
      <c r="V28" s="25">
        <f t="shared" si="13"/>
        <v>0</v>
      </c>
      <c r="W28" s="25">
        <f t="shared" si="14"/>
        <v>0</v>
      </c>
      <c r="X28" s="164">
        <f t="shared" si="16"/>
        <v>312.54280790033692</v>
      </c>
      <c r="Y28" s="18">
        <f t="shared" si="15"/>
        <v>0</v>
      </c>
    </row>
    <row r="29" spans="1:27" ht="14.4">
      <c r="A29" s="16" t="s">
        <v>203</v>
      </c>
      <c r="B29" s="14">
        <f t="shared" si="9"/>
        <v>39996</v>
      </c>
      <c r="C29" s="14">
        <f t="shared" si="10"/>
        <v>39995</v>
      </c>
      <c r="D29" s="13">
        <f t="shared" si="11"/>
        <v>7</v>
      </c>
      <c r="E29" s="12">
        <f t="shared" si="12"/>
        <v>2009</v>
      </c>
      <c r="F29" s="16">
        <v>126.28852638698</v>
      </c>
      <c r="I29" s="9">
        <v>2026</v>
      </c>
      <c r="V29" s="25">
        <f t="shared" si="13"/>
        <v>0</v>
      </c>
      <c r="W29" s="25">
        <f t="shared" si="14"/>
        <v>0</v>
      </c>
      <c r="X29" s="164">
        <f t="shared" si="16"/>
        <v>312.54280790033692</v>
      </c>
      <c r="Y29" s="18">
        <f t="shared" si="15"/>
        <v>0</v>
      </c>
    </row>
    <row r="30" spans="1:27" ht="14.4">
      <c r="A30" s="16" t="s">
        <v>204</v>
      </c>
      <c r="B30" s="14">
        <f t="shared" si="9"/>
        <v>40027</v>
      </c>
      <c r="C30" s="14">
        <f t="shared" si="10"/>
        <v>40026</v>
      </c>
      <c r="D30" s="13">
        <f t="shared" si="11"/>
        <v>8</v>
      </c>
      <c r="E30" s="12">
        <f t="shared" si="12"/>
        <v>2009</v>
      </c>
      <c r="F30" s="16">
        <v>127.028380905855</v>
      </c>
      <c r="I30" s="9">
        <v>2027</v>
      </c>
      <c r="U30" s="17"/>
      <c r="V30" s="25">
        <f t="shared" si="13"/>
        <v>0</v>
      </c>
      <c r="W30" s="25">
        <f t="shared" si="14"/>
        <v>0</v>
      </c>
      <c r="X30" s="164">
        <f t="shared" si="16"/>
        <v>312.54280790033692</v>
      </c>
      <c r="Y30" s="18">
        <f t="shared" si="15"/>
        <v>0</v>
      </c>
    </row>
    <row r="31" spans="1:27" ht="14.4">
      <c r="A31" s="16" t="s">
        <v>205</v>
      </c>
      <c r="B31" s="14">
        <f t="shared" si="9"/>
        <v>40058</v>
      </c>
      <c r="C31" s="14">
        <f t="shared" si="10"/>
        <v>40057</v>
      </c>
      <c r="D31" s="13">
        <f t="shared" si="11"/>
        <v>9</v>
      </c>
      <c r="E31" s="12">
        <f t="shared" si="12"/>
        <v>2009</v>
      </c>
      <c r="F31" s="16">
        <v>127.282889243464</v>
      </c>
      <c r="H31" s="17"/>
      <c r="I31" s="9">
        <v>2028</v>
      </c>
      <c r="U31" s="17"/>
      <c r="V31" s="25">
        <f t="shared" si="13"/>
        <v>0</v>
      </c>
      <c r="W31" s="25">
        <f t="shared" si="14"/>
        <v>0</v>
      </c>
      <c r="X31" s="164">
        <f t="shared" si="16"/>
        <v>312.54280790033692</v>
      </c>
      <c r="Y31" s="18">
        <f t="shared" si="15"/>
        <v>0</v>
      </c>
    </row>
    <row r="32" spans="1:27" ht="14.4">
      <c r="A32" s="16" t="s">
        <v>206</v>
      </c>
      <c r="B32" s="14">
        <f t="shared" si="9"/>
        <v>40088</v>
      </c>
      <c r="C32" s="14">
        <f t="shared" si="10"/>
        <v>40087</v>
      </c>
      <c r="D32" s="13">
        <f t="shared" si="11"/>
        <v>10</v>
      </c>
      <c r="E32" s="12">
        <f t="shared" si="12"/>
        <v>2009</v>
      </c>
      <c r="F32" s="16">
        <v>127.592279105914</v>
      </c>
      <c r="H32" s="17"/>
      <c r="I32" s="9">
        <v>2029</v>
      </c>
      <c r="V32" s="25">
        <f t="shared" si="13"/>
        <v>0</v>
      </c>
      <c r="W32" s="25">
        <f t="shared" si="14"/>
        <v>0</v>
      </c>
      <c r="X32" s="164">
        <f t="shared" si="16"/>
        <v>312.54280790033692</v>
      </c>
      <c r="Y32" s="18">
        <f t="shared" si="15"/>
        <v>0</v>
      </c>
    </row>
    <row r="33" spans="1:25" ht="14.4">
      <c r="A33" s="16" t="s">
        <v>207</v>
      </c>
      <c r="B33" s="14">
        <f t="shared" si="9"/>
        <v>40119</v>
      </c>
      <c r="C33" s="14">
        <f t="shared" si="10"/>
        <v>40118</v>
      </c>
      <c r="D33" s="13">
        <f t="shared" si="11"/>
        <v>11</v>
      </c>
      <c r="E33" s="12">
        <f t="shared" si="12"/>
        <v>2009</v>
      </c>
      <c r="F33" s="16">
        <v>127.99435170434799</v>
      </c>
      <c r="I33" s="9">
        <v>2030</v>
      </c>
      <c r="V33" s="25">
        <f t="shared" si="13"/>
        <v>0</v>
      </c>
      <c r="W33" s="25">
        <f t="shared" si="14"/>
        <v>0</v>
      </c>
      <c r="X33" s="164">
        <f t="shared" si="16"/>
        <v>312.54280790033692</v>
      </c>
      <c r="Y33" s="18">
        <f t="shared" si="15"/>
        <v>0</v>
      </c>
    </row>
    <row r="34" spans="1:25" ht="17.399999999999999">
      <c r="A34" s="16" t="s">
        <v>208</v>
      </c>
      <c r="B34" s="14">
        <f t="shared" si="9"/>
        <v>40149</v>
      </c>
      <c r="C34" s="14">
        <f t="shared" si="10"/>
        <v>40148</v>
      </c>
      <c r="D34" s="13">
        <f t="shared" si="11"/>
        <v>12</v>
      </c>
      <c r="E34" s="12">
        <f t="shared" si="12"/>
        <v>2009</v>
      </c>
      <c r="F34" s="16">
        <v>128.070568193919</v>
      </c>
      <c r="I34" s="346" t="s">
        <v>209</v>
      </c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</row>
    <row r="35" spans="1:25">
      <c r="A35" s="16" t="s">
        <v>210</v>
      </c>
      <c r="B35" s="14">
        <f t="shared" si="9"/>
        <v>40180</v>
      </c>
      <c r="C35" s="14">
        <f t="shared" si="10"/>
        <v>40179</v>
      </c>
      <c r="D35" s="13">
        <f t="shared" si="11"/>
        <v>1</v>
      </c>
      <c r="E35" s="12">
        <f t="shared" si="12"/>
        <v>2010</v>
      </c>
      <c r="F35" s="16">
        <v>127.89512954912901</v>
      </c>
    </row>
    <row r="36" spans="1:25">
      <c r="A36" s="16" t="s">
        <v>211</v>
      </c>
      <c r="B36" s="14">
        <f t="shared" si="9"/>
        <v>40211</v>
      </c>
      <c r="C36" s="14">
        <f t="shared" si="10"/>
        <v>40210</v>
      </c>
      <c r="D36" s="13">
        <f t="shared" si="11"/>
        <v>2</v>
      </c>
      <c r="E36" s="12">
        <f t="shared" si="12"/>
        <v>2010</v>
      </c>
      <c r="F36" s="16">
        <v>127.729066068919</v>
      </c>
    </row>
    <row r="37" spans="1:25">
      <c r="A37" s="16" t="s">
        <v>212</v>
      </c>
      <c r="B37" s="14">
        <f t="shared" si="9"/>
        <v>40239</v>
      </c>
      <c r="C37" s="14">
        <f t="shared" si="10"/>
        <v>40238</v>
      </c>
      <c r="D37" s="13">
        <f t="shared" si="11"/>
        <v>3</v>
      </c>
      <c r="E37" s="12">
        <f t="shared" si="12"/>
        <v>2010</v>
      </c>
      <c r="F37" s="16">
        <v>128.343979227104</v>
      </c>
    </row>
    <row r="38" spans="1:25">
      <c r="A38" s="16" t="s">
        <v>213</v>
      </c>
      <c r="B38" s="14">
        <f t="shared" si="9"/>
        <v>40270</v>
      </c>
      <c r="C38" s="14">
        <f t="shared" si="10"/>
        <v>40269</v>
      </c>
      <c r="D38" s="13">
        <f t="shared" si="11"/>
        <v>4</v>
      </c>
      <c r="E38" s="12">
        <f t="shared" si="12"/>
        <v>2010</v>
      </c>
      <c r="F38" s="16">
        <v>129.03094919405299</v>
      </c>
    </row>
    <row r="39" spans="1:25">
      <c r="A39" s="16" t="s">
        <v>214</v>
      </c>
      <c r="B39" s="14">
        <f t="shared" si="9"/>
        <v>40300</v>
      </c>
      <c r="C39" s="14">
        <f t="shared" si="10"/>
        <v>40299</v>
      </c>
      <c r="D39" s="13">
        <f t="shared" si="11"/>
        <v>5</v>
      </c>
      <c r="E39" s="12">
        <f t="shared" si="12"/>
        <v>2010</v>
      </c>
      <c r="F39" s="16">
        <v>128.30072412413699</v>
      </c>
    </row>
    <row r="40" spans="1:25">
      <c r="A40" s="16" t="s">
        <v>215</v>
      </c>
      <c r="B40" s="14">
        <f t="shared" si="9"/>
        <v>40331</v>
      </c>
      <c r="C40" s="14">
        <f t="shared" si="10"/>
        <v>40330</v>
      </c>
      <c r="D40" s="13">
        <f t="shared" si="11"/>
        <v>6</v>
      </c>
      <c r="E40" s="12">
        <f t="shared" si="12"/>
        <v>2010</v>
      </c>
      <c r="F40" s="16">
        <v>127.38053165717501</v>
      </c>
    </row>
    <row r="41" spans="1:25">
      <c r="A41" s="16" t="s">
        <v>216</v>
      </c>
      <c r="B41" s="14">
        <f t="shared" si="9"/>
        <v>40361</v>
      </c>
      <c r="C41" s="14">
        <f t="shared" si="10"/>
        <v>40360</v>
      </c>
      <c r="D41" s="13">
        <f t="shared" si="11"/>
        <v>7</v>
      </c>
      <c r="E41" s="12">
        <f t="shared" si="12"/>
        <v>2010</v>
      </c>
      <c r="F41" s="16">
        <v>126.185859123094</v>
      </c>
    </row>
    <row r="42" spans="1:25">
      <c r="A42" s="16" t="s">
        <v>217</v>
      </c>
      <c r="B42" s="14">
        <f t="shared" ref="B42:B73" si="17">A42+1</f>
        <v>40392</v>
      </c>
      <c r="C42" s="14">
        <f t="shared" ref="C42:C73" si="18">B42-1</f>
        <v>40391</v>
      </c>
      <c r="D42" s="13">
        <f t="shared" ref="D42:D73" si="19">MONTH(C42)</f>
        <v>8</v>
      </c>
      <c r="E42" s="12">
        <f t="shared" ref="E42:E73" si="20">YEAR(C42)</f>
        <v>2010</v>
      </c>
      <c r="F42" s="16">
        <v>125.64552798830201</v>
      </c>
    </row>
    <row r="43" spans="1:25">
      <c r="A43" s="16" t="s">
        <v>218</v>
      </c>
      <c r="B43" s="14">
        <f t="shared" si="17"/>
        <v>40423</v>
      </c>
      <c r="C43" s="14">
        <f t="shared" si="18"/>
        <v>40422</v>
      </c>
      <c r="D43" s="13">
        <f t="shared" si="19"/>
        <v>9</v>
      </c>
      <c r="E43" s="12">
        <f t="shared" si="20"/>
        <v>2010</v>
      </c>
      <c r="F43" s="16">
        <v>125.30652816222999</v>
      </c>
    </row>
    <row r="44" spans="1:25">
      <c r="A44" s="16" t="s">
        <v>219</v>
      </c>
      <c r="B44" s="14">
        <f t="shared" si="17"/>
        <v>40453</v>
      </c>
      <c r="C44" s="14">
        <f t="shared" si="18"/>
        <v>40452</v>
      </c>
      <c r="D44" s="13">
        <f t="shared" si="19"/>
        <v>10</v>
      </c>
      <c r="E44" s="12">
        <f t="shared" si="20"/>
        <v>2010</v>
      </c>
      <c r="F44" s="16">
        <v>125.39844533028798</v>
      </c>
    </row>
    <row r="45" spans="1:25">
      <c r="A45" s="16" t="s">
        <v>220</v>
      </c>
      <c r="B45" s="14">
        <f t="shared" si="17"/>
        <v>40484</v>
      </c>
      <c r="C45" s="14">
        <f t="shared" si="18"/>
        <v>40483</v>
      </c>
      <c r="D45" s="13">
        <f t="shared" si="19"/>
        <v>11</v>
      </c>
      <c r="E45" s="12">
        <f t="shared" si="20"/>
        <v>2010</v>
      </c>
      <c r="F45" s="16">
        <v>124.814072936979</v>
      </c>
    </row>
    <row r="46" spans="1:25">
      <c r="A46" s="16" t="s">
        <v>221</v>
      </c>
      <c r="B46" s="14">
        <f t="shared" si="17"/>
        <v>40514</v>
      </c>
      <c r="C46" s="14">
        <f t="shared" si="18"/>
        <v>40513</v>
      </c>
      <c r="D46" s="13">
        <f t="shared" si="19"/>
        <v>12</v>
      </c>
      <c r="E46" s="12">
        <f t="shared" si="20"/>
        <v>2010</v>
      </c>
      <c r="F46" s="16">
        <v>125.07608767986099</v>
      </c>
    </row>
    <row r="47" spans="1:25">
      <c r="A47" s="16" t="s">
        <v>222</v>
      </c>
      <c r="B47" s="14">
        <f t="shared" si="17"/>
        <v>40545</v>
      </c>
      <c r="C47" s="14">
        <f t="shared" si="18"/>
        <v>40544</v>
      </c>
      <c r="D47" s="13">
        <f t="shared" si="19"/>
        <v>1</v>
      </c>
      <c r="E47" s="12">
        <f t="shared" si="20"/>
        <v>2011</v>
      </c>
      <c r="F47" s="16">
        <v>124.991907686213</v>
      </c>
    </row>
    <row r="48" spans="1:25">
      <c r="A48" s="16" t="s">
        <v>223</v>
      </c>
      <c r="B48" s="14">
        <f t="shared" si="17"/>
        <v>40576</v>
      </c>
      <c r="C48" s="14">
        <f t="shared" si="18"/>
        <v>40575</v>
      </c>
      <c r="D48" s="13">
        <f t="shared" si="19"/>
        <v>2</v>
      </c>
      <c r="E48" s="12">
        <f t="shared" si="20"/>
        <v>2011</v>
      </c>
      <c r="F48" s="16">
        <v>124.37826226145599</v>
      </c>
    </row>
    <row r="49" spans="1:6">
      <c r="A49" s="16" t="s">
        <v>224</v>
      </c>
      <c r="B49" s="14">
        <f t="shared" si="17"/>
        <v>40604</v>
      </c>
      <c r="C49" s="14">
        <f t="shared" si="18"/>
        <v>40603</v>
      </c>
      <c r="D49" s="13">
        <f t="shared" si="19"/>
        <v>3</v>
      </c>
      <c r="E49" s="12">
        <f t="shared" si="20"/>
        <v>2011</v>
      </c>
      <c r="F49" s="16">
        <v>123.276555678016</v>
      </c>
    </row>
    <row r="50" spans="1:6">
      <c r="A50" s="16" t="s">
        <v>225</v>
      </c>
      <c r="B50" s="14">
        <f t="shared" si="17"/>
        <v>40635</v>
      </c>
      <c r="C50" s="14">
        <f t="shared" si="18"/>
        <v>40634</v>
      </c>
      <c r="D50" s="13">
        <f t="shared" si="19"/>
        <v>4</v>
      </c>
      <c r="E50" s="12">
        <f t="shared" si="20"/>
        <v>2011</v>
      </c>
      <c r="F50" s="16">
        <v>123.575964374983</v>
      </c>
    </row>
    <row r="51" spans="1:6">
      <c r="A51" s="16" t="s">
        <v>226</v>
      </c>
      <c r="B51" s="14">
        <f t="shared" si="17"/>
        <v>40665</v>
      </c>
      <c r="C51" s="14">
        <f t="shared" si="18"/>
        <v>40664</v>
      </c>
      <c r="D51" s="13">
        <f t="shared" si="19"/>
        <v>5</v>
      </c>
      <c r="E51" s="12">
        <f t="shared" si="20"/>
        <v>2011</v>
      </c>
      <c r="F51" s="16">
        <v>123.778581433395</v>
      </c>
    </row>
    <row r="52" spans="1:6">
      <c r="A52" s="16" t="s">
        <v>227</v>
      </c>
      <c r="B52" s="14">
        <f t="shared" si="17"/>
        <v>40696</v>
      </c>
      <c r="C52" s="14">
        <f t="shared" si="18"/>
        <v>40695</v>
      </c>
      <c r="D52" s="13">
        <f t="shared" si="19"/>
        <v>6</v>
      </c>
      <c r="E52" s="12">
        <f t="shared" si="20"/>
        <v>2011</v>
      </c>
      <c r="F52" s="16">
        <v>124.152000944956</v>
      </c>
    </row>
    <row r="53" spans="1:6">
      <c r="A53" s="16" t="s">
        <v>228</v>
      </c>
      <c r="B53" s="14">
        <f t="shared" si="17"/>
        <v>40726</v>
      </c>
      <c r="C53" s="14">
        <f t="shared" si="18"/>
        <v>40725</v>
      </c>
      <c r="D53" s="13">
        <f t="shared" si="19"/>
        <v>7</v>
      </c>
      <c r="E53" s="12">
        <f t="shared" si="20"/>
        <v>2011</v>
      </c>
      <c r="F53" s="16">
        <v>123.560317918078</v>
      </c>
    </row>
    <row r="54" spans="1:6">
      <c r="A54" s="16" t="s">
        <v>229</v>
      </c>
      <c r="B54" s="14">
        <f t="shared" si="17"/>
        <v>40757</v>
      </c>
      <c r="C54" s="14">
        <f t="shared" si="18"/>
        <v>40756</v>
      </c>
      <c r="D54" s="13">
        <f t="shared" si="19"/>
        <v>8</v>
      </c>
      <c r="E54" s="12">
        <f t="shared" si="20"/>
        <v>2011</v>
      </c>
      <c r="F54" s="16">
        <v>123.81608518139099</v>
      </c>
    </row>
    <row r="55" spans="1:6">
      <c r="A55" s="16" t="s">
        <v>230</v>
      </c>
      <c r="B55" s="14">
        <f t="shared" si="17"/>
        <v>40788</v>
      </c>
      <c r="C55" s="14">
        <f t="shared" si="18"/>
        <v>40787</v>
      </c>
      <c r="D55" s="13">
        <f t="shared" si="19"/>
        <v>9</v>
      </c>
      <c r="E55" s="12">
        <f t="shared" si="20"/>
        <v>2011</v>
      </c>
      <c r="F55" s="16">
        <v>123.739820229687</v>
      </c>
    </row>
    <row r="56" spans="1:6">
      <c r="A56" s="16" t="s">
        <v>231</v>
      </c>
      <c r="B56" s="14">
        <f t="shared" si="17"/>
        <v>40818</v>
      </c>
      <c r="C56" s="14">
        <f t="shared" si="18"/>
        <v>40817</v>
      </c>
      <c r="D56" s="13">
        <f t="shared" si="19"/>
        <v>10</v>
      </c>
      <c r="E56" s="12">
        <f t="shared" si="20"/>
        <v>2011</v>
      </c>
      <c r="F56" s="16">
        <v>124.379925311847</v>
      </c>
    </row>
    <row r="57" spans="1:6">
      <c r="A57" s="16" t="s">
        <v>232</v>
      </c>
      <c r="B57" s="14">
        <f t="shared" si="17"/>
        <v>40849</v>
      </c>
      <c r="C57" s="14">
        <f t="shared" si="18"/>
        <v>40848</v>
      </c>
      <c r="D57" s="13">
        <f t="shared" si="19"/>
        <v>11</v>
      </c>
      <c r="E57" s="12">
        <f t="shared" si="20"/>
        <v>2011</v>
      </c>
      <c r="F57" s="16">
        <v>124.73168668802099</v>
      </c>
    </row>
    <row r="58" spans="1:6">
      <c r="A58" s="16" t="s">
        <v>233</v>
      </c>
      <c r="B58" s="14">
        <f t="shared" si="17"/>
        <v>40879</v>
      </c>
      <c r="C58" s="14">
        <f t="shared" si="18"/>
        <v>40878</v>
      </c>
      <c r="D58" s="13">
        <f t="shared" si="19"/>
        <v>12</v>
      </c>
      <c r="E58" s="12">
        <f t="shared" si="20"/>
        <v>2011</v>
      </c>
      <c r="F58" s="16">
        <v>124.682512751658</v>
      </c>
    </row>
    <row r="59" spans="1:6">
      <c r="A59" s="16" t="s">
        <v>234</v>
      </c>
      <c r="B59" s="14">
        <f t="shared" si="17"/>
        <v>40910</v>
      </c>
      <c r="C59" s="14">
        <f t="shared" si="18"/>
        <v>40909</v>
      </c>
      <c r="D59" s="13">
        <f t="shared" si="19"/>
        <v>1</v>
      </c>
      <c r="E59" s="12">
        <f t="shared" si="20"/>
        <v>2012</v>
      </c>
      <c r="F59" s="16">
        <v>125.11644131656401</v>
      </c>
    </row>
    <row r="60" spans="1:6">
      <c r="A60" s="16" t="s">
        <v>235</v>
      </c>
      <c r="B60" s="14">
        <f t="shared" si="17"/>
        <v>40941</v>
      </c>
      <c r="C60" s="14">
        <f t="shared" si="18"/>
        <v>40940</v>
      </c>
      <c r="D60" s="13">
        <f t="shared" si="19"/>
        <v>2</v>
      </c>
      <c r="E60" s="12">
        <f t="shared" si="20"/>
        <v>2012</v>
      </c>
      <c r="F60" s="16">
        <v>124.83067001819599</v>
      </c>
    </row>
    <row r="61" spans="1:6">
      <c r="A61" s="16" t="s">
        <v>236</v>
      </c>
      <c r="B61" s="14">
        <f t="shared" si="17"/>
        <v>40970</v>
      </c>
      <c r="C61" s="14">
        <f t="shared" si="18"/>
        <v>40969</v>
      </c>
      <c r="D61" s="13">
        <f t="shared" si="19"/>
        <v>3</v>
      </c>
      <c r="E61" s="12">
        <f t="shared" si="20"/>
        <v>2012</v>
      </c>
      <c r="F61" s="16">
        <v>126.10573322264401</v>
      </c>
    </row>
    <row r="62" spans="1:6">
      <c r="A62" s="16" t="s">
        <v>237</v>
      </c>
      <c r="B62" s="14">
        <f t="shared" si="17"/>
        <v>41001</v>
      </c>
      <c r="C62" s="14">
        <f t="shared" si="18"/>
        <v>41000</v>
      </c>
      <c r="D62" s="13">
        <f t="shared" si="19"/>
        <v>4</v>
      </c>
      <c r="E62" s="12">
        <f t="shared" si="20"/>
        <v>2012</v>
      </c>
      <c r="F62" s="16">
        <v>126.82324567550501</v>
      </c>
    </row>
    <row r="63" spans="1:6">
      <c r="A63" s="16" t="s">
        <v>238</v>
      </c>
      <c r="B63" s="14">
        <f t="shared" si="17"/>
        <v>41031</v>
      </c>
      <c r="C63" s="14">
        <f t="shared" si="18"/>
        <v>41030</v>
      </c>
      <c r="D63" s="13">
        <f t="shared" si="19"/>
        <v>5</v>
      </c>
      <c r="E63" s="12">
        <f t="shared" si="20"/>
        <v>2012</v>
      </c>
      <c r="F63" s="16">
        <v>128.09834421619701</v>
      </c>
    </row>
    <row r="64" spans="1:6">
      <c r="A64" s="16" t="s">
        <v>239</v>
      </c>
      <c r="B64" s="14">
        <f t="shared" si="17"/>
        <v>41062</v>
      </c>
      <c r="C64" s="14">
        <f t="shared" si="18"/>
        <v>41061</v>
      </c>
      <c r="D64" s="13">
        <f t="shared" si="19"/>
        <v>6</v>
      </c>
      <c r="E64" s="12">
        <f t="shared" si="20"/>
        <v>2012</v>
      </c>
      <c r="F64" s="16">
        <v>129.19516899552201</v>
      </c>
    </row>
    <row r="65" spans="1:6">
      <c r="A65" s="16" t="s">
        <v>240</v>
      </c>
      <c r="B65" s="14">
        <f t="shared" si="17"/>
        <v>41092</v>
      </c>
      <c r="C65" s="14">
        <f t="shared" si="18"/>
        <v>41091</v>
      </c>
      <c r="D65" s="13">
        <f t="shared" si="19"/>
        <v>7</v>
      </c>
      <c r="E65" s="12">
        <f t="shared" si="20"/>
        <v>2012</v>
      </c>
      <c r="F65" s="16">
        <v>130.374559574561</v>
      </c>
    </row>
    <row r="66" spans="1:6">
      <c r="A66" s="16" t="s">
        <v>241</v>
      </c>
      <c r="B66" s="14">
        <f t="shared" si="17"/>
        <v>41123</v>
      </c>
      <c r="C66" s="14">
        <f t="shared" si="18"/>
        <v>41122</v>
      </c>
      <c r="D66" s="13">
        <f t="shared" si="19"/>
        <v>8</v>
      </c>
      <c r="E66" s="12">
        <f t="shared" si="20"/>
        <v>2012</v>
      </c>
      <c r="F66" s="16">
        <v>130.953101231224</v>
      </c>
    </row>
    <row r="67" spans="1:6">
      <c r="A67" s="16" t="s">
        <v>242</v>
      </c>
      <c r="B67" s="14">
        <f t="shared" si="17"/>
        <v>41154</v>
      </c>
      <c r="C67" s="14">
        <f t="shared" si="18"/>
        <v>41153</v>
      </c>
      <c r="D67" s="13">
        <f t="shared" si="19"/>
        <v>9</v>
      </c>
      <c r="E67" s="12">
        <f t="shared" si="20"/>
        <v>2012</v>
      </c>
      <c r="F67" s="16">
        <v>132.28024295585601</v>
      </c>
    </row>
    <row r="68" spans="1:6">
      <c r="A68" s="16" t="s">
        <v>243</v>
      </c>
      <c r="B68" s="14">
        <f t="shared" si="17"/>
        <v>41184</v>
      </c>
      <c r="C68" s="14">
        <f t="shared" si="18"/>
        <v>41183</v>
      </c>
      <c r="D68" s="13">
        <f t="shared" si="19"/>
        <v>10</v>
      </c>
      <c r="E68" s="12">
        <f t="shared" si="20"/>
        <v>2012</v>
      </c>
      <c r="F68" s="16">
        <v>133.154578114104</v>
      </c>
    </row>
    <row r="69" spans="1:6">
      <c r="A69" s="16" t="s">
        <v>244</v>
      </c>
      <c r="B69" s="14">
        <f t="shared" si="17"/>
        <v>41215</v>
      </c>
      <c r="C69" s="14">
        <f t="shared" si="18"/>
        <v>41214</v>
      </c>
      <c r="D69" s="13">
        <f t="shared" si="19"/>
        <v>11</v>
      </c>
      <c r="E69" s="12">
        <f t="shared" si="20"/>
        <v>2012</v>
      </c>
      <c r="F69" s="16">
        <v>134.618818349636</v>
      </c>
    </row>
    <row r="70" spans="1:6">
      <c r="A70" s="16" t="s">
        <v>245</v>
      </c>
      <c r="B70" s="14">
        <f t="shared" si="17"/>
        <v>41245</v>
      </c>
      <c r="C70" s="14">
        <f t="shared" si="18"/>
        <v>41244</v>
      </c>
      <c r="D70" s="13">
        <f t="shared" si="19"/>
        <v>12</v>
      </c>
      <c r="E70" s="12">
        <f t="shared" si="20"/>
        <v>2012</v>
      </c>
      <c r="F70" s="292">
        <v>135.39847475256099</v>
      </c>
    </row>
    <row r="71" spans="1:6">
      <c r="A71" s="16" t="s">
        <v>246</v>
      </c>
      <c r="B71" s="14">
        <f t="shared" si="17"/>
        <v>41276</v>
      </c>
      <c r="C71" s="14">
        <f t="shared" si="18"/>
        <v>41275</v>
      </c>
      <c r="D71" s="13">
        <f t="shared" si="19"/>
        <v>1</v>
      </c>
      <c r="E71" s="12">
        <f t="shared" si="20"/>
        <v>2013</v>
      </c>
      <c r="F71" s="291">
        <v>136.46781353997699</v>
      </c>
    </row>
    <row r="72" spans="1:6">
      <c r="A72" s="16" t="s">
        <v>247</v>
      </c>
      <c r="B72" s="14">
        <f t="shared" si="17"/>
        <v>41307</v>
      </c>
      <c r="C72" s="14">
        <f t="shared" si="18"/>
        <v>41306</v>
      </c>
      <c r="D72" s="13">
        <f t="shared" si="19"/>
        <v>2</v>
      </c>
      <c r="E72" s="12">
        <f t="shared" si="20"/>
        <v>2013</v>
      </c>
      <c r="F72" s="291">
        <v>136.98961323973498</v>
      </c>
    </row>
    <row r="73" spans="1:6">
      <c r="A73" s="16" t="s">
        <v>248</v>
      </c>
      <c r="B73" s="14">
        <f t="shared" si="17"/>
        <v>41335</v>
      </c>
      <c r="C73" s="14">
        <f t="shared" si="18"/>
        <v>41334</v>
      </c>
      <c r="D73" s="13">
        <f t="shared" si="19"/>
        <v>3</v>
      </c>
      <c r="E73" s="12">
        <f t="shared" si="20"/>
        <v>2013</v>
      </c>
      <c r="F73" s="291">
        <v>138.008904574789</v>
      </c>
    </row>
    <row r="74" spans="1:6">
      <c r="A74" s="16" t="s">
        <v>249</v>
      </c>
      <c r="B74" s="14">
        <f t="shared" ref="B74:B105" si="21">A74+1</f>
        <v>41366</v>
      </c>
      <c r="C74" s="14">
        <f t="shared" ref="C74:C105" si="22">B74-1</f>
        <v>41365</v>
      </c>
      <c r="D74" s="13">
        <f t="shared" ref="D74:D105" si="23">MONTH(C74)</f>
        <v>4</v>
      </c>
      <c r="E74" s="12">
        <f t="shared" ref="E74:E105" si="24">YEAR(C74)</f>
        <v>2013</v>
      </c>
      <c r="F74" s="291">
        <v>139.026619259477</v>
      </c>
    </row>
    <row r="75" spans="1:6">
      <c r="A75" s="16" t="s">
        <v>250</v>
      </c>
      <c r="B75" s="14">
        <f t="shared" si="21"/>
        <v>41396</v>
      </c>
      <c r="C75" s="14">
        <f t="shared" si="22"/>
        <v>41395</v>
      </c>
      <c r="D75" s="13">
        <f t="shared" si="23"/>
        <v>5</v>
      </c>
      <c r="E75" s="12">
        <f t="shared" si="24"/>
        <v>2013</v>
      </c>
      <c r="F75" s="291">
        <v>140.35365358066602</v>
      </c>
    </row>
    <row r="76" spans="1:6">
      <c r="A76" s="16" t="s">
        <v>251</v>
      </c>
      <c r="B76" s="14">
        <f t="shared" si="21"/>
        <v>41427</v>
      </c>
      <c r="C76" s="14">
        <f t="shared" si="22"/>
        <v>41426</v>
      </c>
      <c r="D76" s="13">
        <f t="shared" si="23"/>
        <v>6</v>
      </c>
      <c r="E76" s="12">
        <f t="shared" si="24"/>
        <v>2013</v>
      </c>
      <c r="F76" s="291">
        <v>141.41686785410201</v>
      </c>
    </row>
    <row r="77" spans="1:6">
      <c r="A77" s="16" t="s">
        <v>252</v>
      </c>
      <c r="B77" s="14">
        <f t="shared" si="21"/>
        <v>41457</v>
      </c>
      <c r="C77" s="14">
        <f t="shared" si="22"/>
        <v>41456</v>
      </c>
      <c r="D77" s="13">
        <f t="shared" si="23"/>
        <v>7</v>
      </c>
      <c r="E77" s="12">
        <f t="shared" si="24"/>
        <v>2013</v>
      </c>
      <c r="F77" s="291">
        <v>143.16116357451699</v>
      </c>
    </row>
    <row r="78" spans="1:6">
      <c r="A78" s="16" t="s">
        <v>253</v>
      </c>
      <c r="B78" s="14">
        <f t="shared" si="21"/>
        <v>41488</v>
      </c>
      <c r="C78" s="14">
        <f t="shared" si="22"/>
        <v>41487</v>
      </c>
      <c r="D78" s="13">
        <f t="shared" si="23"/>
        <v>8</v>
      </c>
      <c r="E78" s="12">
        <f t="shared" si="24"/>
        <v>2013</v>
      </c>
      <c r="F78" s="291">
        <v>144.53078197681802</v>
      </c>
    </row>
    <row r="79" spans="1:6">
      <c r="A79" s="16" t="s">
        <v>254</v>
      </c>
      <c r="B79" s="14">
        <f t="shared" si="21"/>
        <v>41519</v>
      </c>
      <c r="C79" s="14">
        <f t="shared" si="22"/>
        <v>41518</v>
      </c>
      <c r="D79" s="13">
        <f t="shared" si="23"/>
        <v>9</v>
      </c>
      <c r="E79" s="12">
        <f t="shared" si="24"/>
        <v>2013</v>
      </c>
      <c r="F79" s="291">
        <v>145.68572576749798</v>
      </c>
    </row>
    <row r="80" spans="1:6">
      <c r="A80" s="16" t="s">
        <v>255</v>
      </c>
      <c r="B80" s="14">
        <f t="shared" si="21"/>
        <v>41549</v>
      </c>
      <c r="C80" s="14">
        <f t="shared" si="22"/>
        <v>41548</v>
      </c>
      <c r="D80" s="13">
        <f t="shared" si="23"/>
        <v>10</v>
      </c>
      <c r="E80" s="12">
        <f t="shared" si="24"/>
        <v>2013</v>
      </c>
      <c r="F80" s="291">
        <v>146.06144162318199</v>
      </c>
    </row>
    <row r="81" spans="1:6">
      <c r="A81" s="16" t="s">
        <v>256</v>
      </c>
      <c r="B81" s="14">
        <f t="shared" si="21"/>
        <v>41580</v>
      </c>
      <c r="C81" s="14">
        <f t="shared" si="22"/>
        <v>41579</v>
      </c>
      <c r="D81" s="13">
        <f t="shared" si="23"/>
        <v>11</v>
      </c>
      <c r="E81" s="12">
        <f t="shared" si="24"/>
        <v>2013</v>
      </c>
      <c r="F81" s="291">
        <v>146.770681348989</v>
      </c>
    </row>
    <row r="82" spans="1:6">
      <c r="A82" s="16" t="s">
        <v>257</v>
      </c>
      <c r="B82" s="14">
        <f t="shared" si="21"/>
        <v>41610</v>
      </c>
      <c r="C82" s="14">
        <f t="shared" si="22"/>
        <v>41609</v>
      </c>
      <c r="D82" s="13">
        <f t="shared" si="23"/>
        <v>12</v>
      </c>
      <c r="E82" s="12">
        <f t="shared" si="24"/>
        <v>2013</v>
      </c>
      <c r="F82" s="291">
        <v>147.70269501397701</v>
      </c>
    </row>
    <row r="83" spans="1:6">
      <c r="A83" s="16" t="s">
        <v>258</v>
      </c>
      <c r="B83" s="14">
        <f t="shared" si="21"/>
        <v>41641</v>
      </c>
      <c r="C83" s="14">
        <f t="shared" si="22"/>
        <v>41640</v>
      </c>
      <c r="D83" s="13">
        <f t="shared" si="23"/>
        <v>1</v>
      </c>
      <c r="E83" s="12">
        <f t="shared" si="24"/>
        <v>2014</v>
      </c>
      <c r="F83" s="291">
        <v>148.623659354116</v>
      </c>
    </row>
    <row r="84" spans="1:6">
      <c r="A84" s="16" t="s">
        <v>259</v>
      </c>
      <c r="B84" s="14">
        <f t="shared" si="21"/>
        <v>41672</v>
      </c>
      <c r="C84" s="14">
        <f t="shared" si="22"/>
        <v>41671</v>
      </c>
      <c r="D84" s="13">
        <f t="shared" si="23"/>
        <v>2</v>
      </c>
      <c r="E84" s="12">
        <f t="shared" si="24"/>
        <v>2014</v>
      </c>
      <c r="F84" s="291">
        <v>149.15721903107499</v>
      </c>
    </row>
    <row r="85" spans="1:6">
      <c r="A85" s="16" t="s">
        <v>260</v>
      </c>
      <c r="B85" s="14">
        <f t="shared" si="21"/>
        <v>41700</v>
      </c>
      <c r="C85" s="14">
        <f t="shared" si="22"/>
        <v>41699</v>
      </c>
      <c r="D85" s="13">
        <f t="shared" si="23"/>
        <v>3</v>
      </c>
      <c r="E85" s="12">
        <f t="shared" si="24"/>
        <v>2014</v>
      </c>
      <c r="F85" s="291">
        <v>150.10434349728399</v>
      </c>
    </row>
    <row r="86" spans="1:6">
      <c r="A86" s="16" t="s">
        <v>261</v>
      </c>
      <c r="B86" s="14">
        <f t="shared" si="21"/>
        <v>41731</v>
      </c>
      <c r="C86" s="14">
        <f t="shared" si="22"/>
        <v>41730</v>
      </c>
      <c r="D86" s="13">
        <f t="shared" si="23"/>
        <v>4</v>
      </c>
      <c r="E86" s="12">
        <f t="shared" si="24"/>
        <v>2014</v>
      </c>
      <c r="F86" s="291">
        <v>150.98390825165299</v>
      </c>
    </row>
    <row r="87" spans="1:6">
      <c r="A87" s="16" t="s">
        <v>262</v>
      </c>
      <c r="B87" s="14">
        <f t="shared" si="21"/>
        <v>41761</v>
      </c>
      <c r="C87" s="14">
        <f t="shared" si="22"/>
        <v>41760</v>
      </c>
      <c r="D87" s="13">
        <f t="shared" si="23"/>
        <v>5</v>
      </c>
      <c r="E87" s="12">
        <f t="shared" si="24"/>
        <v>2014</v>
      </c>
      <c r="F87" s="291">
        <v>151.74037157418502</v>
      </c>
    </row>
    <row r="88" spans="1:6">
      <c r="A88" s="16" t="s">
        <v>263</v>
      </c>
      <c r="B88" s="14">
        <f t="shared" si="21"/>
        <v>41792</v>
      </c>
      <c r="C88" s="14">
        <f t="shared" si="22"/>
        <v>41791</v>
      </c>
      <c r="D88" s="13">
        <f t="shared" si="23"/>
        <v>6</v>
      </c>
      <c r="E88" s="12">
        <f t="shared" si="24"/>
        <v>2014</v>
      </c>
      <c r="F88" s="291">
        <v>152.40721786303999</v>
      </c>
    </row>
    <row r="89" spans="1:6">
      <c r="A89" s="16" t="s">
        <v>264</v>
      </c>
      <c r="B89" s="14">
        <f t="shared" si="21"/>
        <v>41822</v>
      </c>
      <c r="C89" s="14">
        <f t="shared" si="22"/>
        <v>41821</v>
      </c>
      <c r="D89" s="13">
        <f t="shared" si="23"/>
        <v>7</v>
      </c>
      <c r="E89" s="12">
        <f t="shared" si="24"/>
        <v>2014</v>
      </c>
      <c r="F89" s="291">
        <v>152.93435836869199</v>
      </c>
    </row>
    <row r="90" spans="1:6">
      <c r="A90" s="16" t="s">
        <v>265</v>
      </c>
      <c r="B90" s="14">
        <f t="shared" si="21"/>
        <v>41853</v>
      </c>
      <c r="C90" s="14">
        <f t="shared" si="22"/>
        <v>41852</v>
      </c>
      <c r="D90" s="13">
        <f t="shared" si="23"/>
        <v>8</v>
      </c>
      <c r="E90" s="12">
        <f t="shared" si="24"/>
        <v>2014</v>
      </c>
      <c r="F90" s="291">
        <v>153.93789344215</v>
      </c>
    </row>
    <row r="91" spans="1:6">
      <c r="A91" s="16" t="s">
        <v>266</v>
      </c>
      <c r="B91" s="14">
        <f t="shared" si="21"/>
        <v>41884</v>
      </c>
      <c r="C91" s="14">
        <f t="shared" si="22"/>
        <v>41883</v>
      </c>
      <c r="D91" s="13">
        <f t="shared" si="23"/>
        <v>9</v>
      </c>
      <c r="E91" s="12">
        <f t="shared" si="24"/>
        <v>2014</v>
      </c>
      <c r="F91" s="291">
        <v>155.00999255334801</v>
      </c>
    </row>
    <row r="92" spans="1:6">
      <c r="A92" s="16" t="s">
        <v>267</v>
      </c>
      <c r="B92" s="14">
        <f t="shared" si="21"/>
        <v>41914</v>
      </c>
      <c r="C92" s="14">
        <f t="shared" si="22"/>
        <v>41913</v>
      </c>
      <c r="D92" s="13">
        <f t="shared" si="23"/>
        <v>10</v>
      </c>
      <c r="E92" s="12">
        <f t="shared" si="24"/>
        <v>2014</v>
      </c>
      <c r="F92" s="291">
        <v>156.749793297157</v>
      </c>
    </row>
    <row r="93" spans="1:6">
      <c r="A93" s="16" t="s">
        <v>268</v>
      </c>
      <c r="B93" s="14">
        <f t="shared" si="21"/>
        <v>41945</v>
      </c>
      <c r="C93" s="14">
        <f t="shared" si="22"/>
        <v>41944</v>
      </c>
      <c r="D93" s="13">
        <f t="shared" si="23"/>
        <v>11</v>
      </c>
      <c r="E93" s="12">
        <f t="shared" si="24"/>
        <v>2014</v>
      </c>
      <c r="F93" s="291">
        <v>157.87632660330499</v>
      </c>
    </row>
    <row r="94" spans="1:6">
      <c r="A94" s="16" t="s">
        <v>269</v>
      </c>
      <c r="B94" s="14">
        <f t="shared" si="21"/>
        <v>41975</v>
      </c>
      <c r="C94" s="14">
        <f t="shared" si="22"/>
        <v>41974</v>
      </c>
      <c r="D94" s="13">
        <f t="shared" si="23"/>
        <v>12</v>
      </c>
      <c r="E94" s="12">
        <f t="shared" si="24"/>
        <v>2014</v>
      </c>
      <c r="F94" s="291">
        <v>159.81154747150802</v>
      </c>
    </row>
    <row r="95" spans="1:6">
      <c r="A95" s="16" t="s">
        <v>270</v>
      </c>
      <c r="B95" s="14">
        <f t="shared" si="21"/>
        <v>42006</v>
      </c>
      <c r="C95" s="14">
        <f t="shared" si="22"/>
        <v>42005</v>
      </c>
      <c r="D95" s="13">
        <f t="shared" si="23"/>
        <v>1</v>
      </c>
      <c r="E95" s="12">
        <f t="shared" si="24"/>
        <v>2015</v>
      </c>
      <c r="F95" s="291">
        <v>161.02449532650201</v>
      </c>
    </row>
    <row r="96" spans="1:6">
      <c r="A96" s="16" t="s">
        <v>271</v>
      </c>
      <c r="B96" s="14">
        <f t="shared" si="21"/>
        <v>42037</v>
      </c>
      <c r="C96" s="14">
        <f t="shared" si="22"/>
        <v>42036</v>
      </c>
      <c r="D96" s="13">
        <f t="shared" si="23"/>
        <v>2</v>
      </c>
      <c r="E96" s="12">
        <f t="shared" si="24"/>
        <v>2015</v>
      </c>
      <c r="F96" s="291">
        <v>163.65770901399699</v>
      </c>
    </row>
    <row r="97" spans="1:6">
      <c r="A97" s="16" t="s">
        <v>272</v>
      </c>
      <c r="B97" s="14">
        <f t="shared" si="21"/>
        <v>42065</v>
      </c>
      <c r="C97" s="14">
        <f t="shared" si="22"/>
        <v>42064</v>
      </c>
      <c r="D97" s="13">
        <f t="shared" si="23"/>
        <v>3</v>
      </c>
      <c r="E97" s="12">
        <f t="shared" si="24"/>
        <v>2015</v>
      </c>
      <c r="F97" s="291">
        <v>164.48796595531999</v>
      </c>
    </row>
    <row r="98" spans="1:6">
      <c r="A98" s="16" t="s">
        <v>273</v>
      </c>
      <c r="B98" s="14">
        <f t="shared" si="21"/>
        <v>42096</v>
      </c>
      <c r="C98" s="14">
        <f t="shared" si="22"/>
        <v>42095</v>
      </c>
      <c r="D98" s="13">
        <f t="shared" si="23"/>
        <v>4</v>
      </c>
      <c r="E98" s="12">
        <f t="shared" si="24"/>
        <v>2015</v>
      </c>
      <c r="F98" s="291">
        <v>166.02975484501101</v>
      </c>
    </row>
    <row r="99" spans="1:6">
      <c r="A99" s="16" t="s">
        <v>274</v>
      </c>
      <c r="B99" s="14">
        <f t="shared" si="21"/>
        <v>42126</v>
      </c>
      <c r="C99" s="14">
        <f t="shared" si="22"/>
        <v>42125</v>
      </c>
      <c r="D99" s="13">
        <f t="shared" si="23"/>
        <v>5</v>
      </c>
      <c r="E99" s="12">
        <f t="shared" si="24"/>
        <v>2015</v>
      </c>
      <c r="F99" s="291">
        <v>166.770042539797</v>
      </c>
    </row>
    <row r="100" spans="1:6">
      <c r="A100" s="16" t="s">
        <v>275</v>
      </c>
      <c r="B100" s="14">
        <f t="shared" si="21"/>
        <v>42157</v>
      </c>
      <c r="C100" s="14">
        <f t="shared" si="22"/>
        <v>42156</v>
      </c>
      <c r="D100" s="13">
        <f t="shared" si="23"/>
        <v>6</v>
      </c>
      <c r="E100" s="12">
        <f t="shared" si="24"/>
        <v>2015</v>
      </c>
      <c r="F100" s="291">
        <v>168.00867291738899</v>
      </c>
    </row>
    <row r="101" spans="1:6">
      <c r="A101" s="16" t="s">
        <v>276</v>
      </c>
      <c r="B101" s="14">
        <f t="shared" si="21"/>
        <v>42187</v>
      </c>
      <c r="C101" s="14">
        <f t="shared" si="22"/>
        <v>42186</v>
      </c>
      <c r="D101" s="13">
        <f t="shared" si="23"/>
        <v>7</v>
      </c>
      <c r="E101" s="12">
        <f t="shared" si="24"/>
        <v>2015</v>
      </c>
      <c r="F101" s="291">
        <v>168.875106579278</v>
      </c>
    </row>
    <row r="102" spans="1:6">
      <c r="A102" s="16" t="s">
        <v>277</v>
      </c>
      <c r="B102" s="14">
        <f t="shared" si="21"/>
        <v>42218</v>
      </c>
      <c r="C102" s="14">
        <f t="shared" si="22"/>
        <v>42217</v>
      </c>
      <c r="D102" s="13">
        <f t="shared" si="23"/>
        <v>8</v>
      </c>
      <c r="E102" s="12">
        <f t="shared" si="24"/>
        <v>2015</v>
      </c>
      <c r="F102" s="291">
        <v>170.715803658515</v>
      </c>
    </row>
    <row r="103" spans="1:6">
      <c r="A103" s="16" t="s">
        <v>278</v>
      </c>
      <c r="B103" s="14">
        <f t="shared" si="21"/>
        <v>42249</v>
      </c>
      <c r="C103" s="14">
        <f t="shared" si="22"/>
        <v>42248</v>
      </c>
      <c r="D103" s="13">
        <f t="shared" si="23"/>
        <v>9</v>
      </c>
      <c r="E103" s="12">
        <f t="shared" si="24"/>
        <v>2015</v>
      </c>
      <c r="F103" s="291">
        <v>172.25724558228001</v>
      </c>
    </row>
    <row r="104" spans="1:6">
      <c r="A104" s="16" t="s">
        <v>279</v>
      </c>
      <c r="B104" s="14">
        <f t="shared" si="21"/>
        <v>42279</v>
      </c>
      <c r="C104" s="14">
        <f t="shared" si="22"/>
        <v>42278</v>
      </c>
      <c r="D104" s="13">
        <f t="shared" si="23"/>
        <v>10</v>
      </c>
      <c r="E104" s="12">
        <f t="shared" si="24"/>
        <v>2015</v>
      </c>
      <c r="F104" s="291">
        <v>174.061491117016</v>
      </c>
    </row>
    <row r="105" spans="1:6">
      <c r="A105" s="16" t="s">
        <v>280</v>
      </c>
      <c r="B105" s="14">
        <f t="shared" si="21"/>
        <v>42310</v>
      </c>
      <c r="C105" s="14">
        <f t="shared" si="22"/>
        <v>42309</v>
      </c>
      <c r="D105" s="13">
        <f t="shared" si="23"/>
        <v>11</v>
      </c>
      <c r="E105" s="12">
        <f t="shared" si="24"/>
        <v>2015</v>
      </c>
      <c r="F105" s="291">
        <v>175.28375814175499</v>
      </c>
    </row>
    <row r="106" spans="1:6">
      <c r="A106" s="16" t="s">
        <v>281</v>
      </c>
      <c r="B106" s="14">
        <f t="shared" ref="B106:B137" si="25">A106+1</f>
        <v>42340</v>
      </c>
      <c r="C106" s="14">
        <f t="shared" ref="C106:C137" si="26">B106-1</f>
        <v>42339</v>
      </c>
      <c r="D106" s="13">
        <f t="shared" ref="D106:D137" si="27">MONTH(C106)</f>
        <v>12</v>
      </c>
      <c r="E106" s="12">
        <f t="shared" ref="E106:E137" si="28">YEAR(C106)</f>
        <v>2015</v>
      </c>
      <c r="F106" s="291">
        <v>176.19104697667899</v>
      </c>
    </row>
    <row r="107" spans="1:6">
      <c r="A107" s="16" t="s">
        <v>282</v>
      </c>
      <c r="B107" s="14">
        <f t="shared" si="25"/>
        <v>42371</v>
      </c>
      <c r="C107" s="14">
        <f t="shared" si="26"/>
        <v>42370</v>
      </c>
      <c r="D107" s="13">
        <f t="shared" si="27"/>
        <v>1</v>
      </c>
      <c r="E107" s="12">
        <f t="shared" si="28"/>
        <v>2016</v>
      </c>
      <c r="F107" s="291">
        <v>177.39325620246299</v>
      </c>
    </row>
    <row r="108" spans="1:6">
      <c r="A108" s="16" t="s">
        <v>283</v>
      </c>
      <c r="B108" s="14">
        <f t="shared" si="25"/>
        <v>42402</v>
      </c>
      <c r="C108" s="14">
        <f t="shared" si="26"/>
        <v>42401</v>
      </c>
      <c r="D108" s="13">
        <f t="shared" si="27"/>
        <v>2</v>
      </c>
      <c r="E108" s="12">
        <f t="shared" si="28"/>
        <v>2016</v>
      </c>
      <c r="F108" s="291">
        <v>179.18758612265597</v>
      </c>
    </row>
    <row r="109" spans="1:6">
      <c r="A109" s="16" t="s">
        <v>284</v>
      </c>
      <c r="B109" s="14">
        <f t="shared" si="25"/>
        <v>42431</v>
      </c>
      <c r="C109" s="14">
        <f t="shared" si="26"/>
        <v>42430</v>
      </c>
      <c r="D109" s="13">
        <f t="shared" si="27"/>
        <v>3</v>
      </c>
      <c r="E109" s="12">
        <f t="shared" si="28"/>
        <v>2016</v>
      </c>
      <c r="F109" s="291">
        <v>180.29816230144101</v>
      </c>
    </row>
    <row r="110" spans="1:6">
      <c r="A110" s="16" t="s">
        <v>285</v>
      </c>
      <c r="B110" s="14">
        <f t="shared" si="25"/>
        <v>42462</v>
      </c>
      <c r="C110" s="14">
        <f t="shared" si="26"/>
        <v>42461</v>
      </c>
      <c r="D110" s="13">
        <f t="shared" si="27"/>
        <v>4</v>
      </c>
      <c r="E110" s="12">
        <f t="shared" si="28"/>
        <v>2016</v>
      </c>
      <c r="F110" s="291">
        <v>181.32559892057998</v>
      </c>
    </row>
    <row r="111" spans="1:6">
      <c r="A111" s="16" t="s">
        <v>286</v>
      </c>
      <c r="B111" s="14">
        <f t="shared" si="25"/>
        <v>42492</v>
      </c>
      <c r="C111" s="14">
        <f t="shared" si="26"/>
        <v>42491</v>
      </c>
      <c r="D111" s="13">
        <f t="shared" si="27"/>
        <v>5</v>
      </c>
      <c r="E111" s="12">
        <f t="shared" si="28"/>
        <v>2016</v>
      </c>
      <c r="F111" s="291">
        <v>182.42454453257801</v>
      </c>
    </row>
    <row r="112" spans="1:6">
      <c r="A112" s="16" t="s">
        <v>287</v>
      </c>
      <c r="B112" s="14">
        <f t="shared" si="25"/>
        <v>42523</v>
      </c>
      <c r="C112" s="14">
        <f t="shared" si="26"/>
        <v>42522</v>
      </c>
      <c r="D112" s="13">
        <f t="shared" si="27"/>
        <v>6</v>
      </c>
      <c r="E112" s="12">
        <f t="shared" si="28"/>
        <v>2016</v>
      </c>
      <c r="F112" s="291">
        <v>183.55733191402902</v>
      </c>
    </row>
    <row r="113" spans="1:6">
      <c r="A113" s="16" t="s">
        <v>288</v>
      </c>
      <c r="B113" s="14">
        <f t="shared" si="25"/>
        <v>42553</v>
      </c>
      <c r="C113" s="14">
        <f t="shared" si="26"/>
        <v>42552</v>
      </c>
      <c r="D113" s="13">
        <f t="shared" si="27"/>
        <v>7</v>
      </c>
      <c r="E113" s="12">
        <f t="shared" si="28"/>
        <v>2016</v>
      </c>
      <c r="F113" s="291">
        <v>185.00782931500001</v>
      </c>
    </row>
    <row r="114" spans="1:6">
      <c r="A114" s="16" t="s">
        <v>289</v>
      </c>
      <c r="B114" s="14">
        <f t="shared" si="25"/>
        <v>42584</v>
      </c>
      <c r="C114" s="14">
        <f t="shared" si="26"/>
        <v>42583</v>
      </c>
      <c r="D114" s="13">
        <f t="shared" si="27"/>
        <v>8</v>
      </c>
      <c r="E114" s="12">
        <f t="shared" si="28"/>
        <v>2016</v>
      </c>
      <c r="F114" s="291">
        <v>186.135754889287</v>
      </c>
    </row>
    <row r="115" spans="1:6">
      <c r="A115" s="16" t="s">
        <v>290</v>
      </c>
      <c r="B115" s="14">
        <f t="shared" si="25"/>
        <v>42615</v>
      </c>
      <c r="C115" s="14">
        <f t="shared" si="26"/>
        <v>42614</v>
      </c>
      <c r="D115" s="13">
        <f t="shared" si="27"/>
        <v>9</v>
      </c>
      <c r="E115" s="12">
        <f t="shared" si="28"/>
        <v>2016</v>
      </c>
      <c r="F115" s="291">
        <v>187.660245145299</v>
      </c>
    </row>
    <row r="116" spans="1:6">
      <c r="A116" s="16" t="s">
        <v>291</v>
      </c>
      <c r="B116" s="14">
        <f t="shared" si="25"/>
        <v>42645</v>
      </c>
      <c r="C116" s="14">
        <f t="shared" si="26"/>
        <v>42644</v>
      </c>
      <c r="D116" s="13">
        <f t="shared" si="27"/>
        <v>10</v>
      </c>
      <c r="E116" s="12">
        <f t="shared" si="28"/>
        <v>2016</v>
      </c>
      <c r="F116" s="291">
        <v>188.78990337538301</v>
      </c>
    </row>
    <row r="117" spans="1:6">
      <c r="A117" s="16" t="s">
        <v>292</v>
      </c>
      <c r="B117" s="14">
        <f t="shared" si="25"/>
        <v>42676</v>
      </c>
      <c r="C117" s="14">
        <f t="shared" si="26"/>
        <v>42675</v>
      </c>
      <c r="D117" s="13">
        <f t="shared" si="27"/>
        <v>11</v>
      </c>
      <c r="E117" s="12">
        <f t="shared" si="28"/>
        <v>2016</v>
      </c>
      <c r="F117" s="291">
        <v>190.82822807850602</v>
      </c>
    </row>
    <row r="118" spans="1:6">
      <c r="A118" s="16" t="s">
        <v>293</v>
      </c>
      <c r="B118" s="14">
        <f t="shared" si="25"/>
        <v>42706</v>
      </c>
      <c r="C118" s="14">
        <f t="shared" si="26"/>
        <v>42705</v>
      </c>
      <c r="D118" s="13">
        <f t="shared" si="27"/>
        <v>12</v>
      </c>
      <c r="E118" s="12">
        <f t="shared" si="28"/>
        <v>2016</v>
      </c>
      <c r="F118" s="291">
        <v>192.03254532568198</v>
      </c>
    </row>
    <row r="119" spans="1:6">
      <c r="A119" s="16" t="s">
        <v>294</v>
      </c>
      <c r="B119" s="14">
        <f t="shared" si="25"/>
        <v>42737</v>
      </c>
      <c r="C119" s="14">
        <f t="shared" si="26"/>
        <v>42736</v>
      </c>
      <c r="D119" s="13">
        <f t="shared" si="27"/>
        <v>1</v>
      </c>
      <c r="E119" s="12">
        <f t="shared" si="28"/>
        <v>2017</v>
      </c>
      <c r="F119" s="291">
        <v>193.56965682317403</v>
      </c>
    </row>
    <row r="120" spans="1:6">
      <c r="A120" s="16" t="s">
        <v>295</v>
      </c>
      <c r="B120" s="14">
        <f t="shared" si="25"/>
        <v>42768</v>
      </c>
      <c r="C120" s="14">
        <f t="shared" si="26"/>
        <v>42767</v>
      </c>
      <c r="D120" s="13">
        <f t="shared" si="27"/>
        <v>2</v>
      </c>
      <c r="E120" s="12">
        <f t="shared" si="28"/>
        <v>2017</v>
      </c>
      <c r="F120" s="291">
        <v>194.43528494074698</v>
      </c>
    </row>
    <row r="121" spans="1:6">
      <c r="A121" s="16" t="s">
        <v>296</v>
      </c>
      <c r="B121" s="14">
        <f t="shared" si="25"/>
        <v>42796</v>
      </c>
      <c r="C121" s="14">
        <f t="shared" si="26"/>
        <v>42795</v>
      </c>
      <c r="D121" s="13">
        <f t="shared" si="27"/>
        <v>3</v>
      </c>
      <c r="E121" s="12">
        <f t="shared" si="28"/>
        <v>2017</v>
      </c>
      <c r="F121" s="291">
        <v>194.754132502602</v>
      </c>
    </row>
    <row r="122" spans="1:6">
      <c r="A122" s="16" t="s">
        <v>297</v>
      </c>
      <c r="B122" s="14">
        <f t="shared" si="25"/>
        <v>42827</v>
      </c>
      <c r="C122" s="14">
        <f t="shared" si="26"/>
        <v>42826</v>
      </c>
      <c r="D122" s="13">
        <f t="shared" si="27"/>
        <v>4</v>
      </c>
      <c r="E122" s="12">
        <f t="shared" si="28"/>
        <v>2017</v>
      </c>
      <c r="F122" s="291">
        <v>195.58069897585401</v>
      </c>
    </row>
    <row r="123" spans="1:6">
      <c r="A123" s="16" t="s">
        <v>298</v>
      </c>
      <c r="B123" s="14">
        <f t="shared" si="25"/>
        <v>42857</v>
      </c>
      <c r="C123" s="14">
        <f t="shared" si="26"/>
        <v>42856</v>
      </c>
      <c r="D123" s="13">
        <f t="shared" si="27"/>
        <v>5</v>
      </c>
      <c r="E123" s="12">
        <f t="shared" si="28"/>
        <v>2017</v>
      </c>
      <c r="F123" s="291">
        <v>196.53113579741401</v>
      </c>
    </row>
    <row r="124" spans="1:6">
      <c r="A124" s="16" t="s">
        <v>299</v>
      </c>
      <c r="B124" s="14">
        <f t="shared" si="25"/>
        <v>42888</v>
      </c>
      <c r="C124" s="14">
        <f t="shared" si="26"/>
        <v>42887</v>
      </c>
      <c r="D124" s="13">
        <f t="shared" si="27"/>
        <v>6</v>
      </c>
      <c r="E124" s="12">
        <f t="shared" si="28"/>
        <v>2017</v>
      </c>
      <c r="F124" s="291">
        <v>197.424460763534</v>
      </c>
    </row>
    <row r="125" spans="1:6">
      <c r="A125" s="16" t="s">
        <v>300</v>
      </c>
      <c r="B125" s="14">
        <f t="shared" si="25"/>
        <v>42918</v>
      </c>
      <c r="C125" s="14">
        <f t="shared" si="26"/>
        <v>42917</v>
      </c>
      <c r="D125" s="13">
        <f t="shared" si="27"/>
        <v>7</v>
      </c>
      <c r="E125" s="12">
        <f t="shared" si="28"/>
        <v>2017</v>
      </c>
      <c r="F125" s="291">
        <v>198.57132126243198</v>
      </c>
    </row>
    <row r="126" spans="1:6">
      <c r="A126" s="16" t="s">
        <v>301</v>
      </c>
      <c r="B126" s="14">
        <f t="shared" si="25"/>
        <v>42949</v>
      </c>
      <c r="C126" s="14">
        <f t="shared" si="26"/>
        <v>42948</v>
      </c>
      <c r="D126" s="13">
        <f t="shared" si="27"/>
        <v>8</v>
      </c>
      <c r="E126" s="12">
        <f t="shared" si="28"/>
        <v>2017</v>
      </c>
      <c r="F126" s="291">
        <v>199.89834719530899</v>
      </c>
    </row>
    <row r="127" spans="1:6">
      <c r="A127" s="16" t="s">
        <v>302</v>
      </c>
      <c r="B127" s="14">
        <f t="shared" si="25"/>
        <v>42980</v>
      </c>
      <c r="C127" s="14">
        <f t="shared" si="26"/>
        <v>42979</v>
      </c>
      <c r="D127" s="13">
        <f t="shared" si="27"/>
        <v>9</v>
      </c>
      <c r="E127" s="12">
        <f t="shared" si="28"/>
        <v>2017</v>
      </c>
      <c r="F127" s="291">
        <v>201.27201238356801</v>
      </c>
    </row>
    <row r="128" spans="1:6">
      <c r="A128" s="16" t="s">
        <v>303</v>
      </c>
      <c r="B128" s="14">
        <f t="shared" si="25"/>
        <v>43010</v>
      </c>
      <c r="C128" s="14">
        <f t="shared" si="26"/>
        <v>43009</v>
      </c>
      <c r="D128" s="13">
        <f t="shared" si="27"/>
        <v>10</v>
      </c>
      <c r="E128" s="12">
        <f t="shared" si="28"/>
        <v>2017</v>
      </c>
      <c r="F128" s="291">
        <v>202.64360547653899</v>
      </c>
    </row>
    <row r="129" spans="1:14">
      <c r="A129" s="16" t="s">
        <v>304</v>
      </c>
      <c r="B129" s="14">
        <f t="shared" si="25"/>
        <v>43041</v>
      </c>
      <c r="C129" s="14">
        <f t="shared" si="26"/>
        <v>43040</v>
      </c>
      <c r="D129" s="13">
        <f t="shared" si="27"/>
        <v>11</v>
      </c>
      <c r="E129" s="12">
        <f t="shared" si="28"/>
        <v>2017</v>
      </c>
      <c r="F129" s="291">
        <v>204.34816595425801</v>
      </c>
    </row>
    <row r="130" spans="1:14">
      <c r="A130" s="16" t="s">
        <v>305</v>
      </c>
      <c r="B130" s="14">
        <f t="shared" si="25"/>
        <v>43071</v>
      </c>
      <c r="C130" s="14">
        <f t="shared" si="26"/>
        <v>43070</v>
      </c>
      <c r="D130" s="13">
        <f t="shared" si="27"/>
        <v>12</v>
      </c>
      <c r="E130" s="12">
        <f t="shared" si="28"/>
        <v>2017</v>
      </c>
      <c r="F130" s="291">
        <v>206.53227683337897</v>
      </c>
    </row>
    <row r="131" spans="1:14">
      <c r="A131" s="16" t="s">
        <v>306</v>
      </c>
      <c r="B131" s="14">
        <f t="shared" si="25"/>
        <v>43102</v>
      </c>
      <c r="C131" s="14">
        <f t="shared" si="26"/>
        <v>43101</v>
      </c>
      <c r="D131" s="13">
        <f t="shared" si="27"/>
        <v>1</v>
      </c>
      <c r="E131" s="12">
        <f t="shared" si="28"/>
        <v>2018</v>
      </c>
      <c r="F131" s="291">
        <v>208.35625440845797</v>
      </c>
    </row>
    <row r="132" spans="1:14">
      <c r="A132" s="15">
        <v>43132</v>
      </c>
      <c r="B132" s="14">
        <f t="shared" si="25"/>
        <v>43133</v>
      </c>
      <c r="C132" s="14">
        <f t="shared" si="26"/>
        <v>43132</v>
      </c>
      <c r="D132" s="13">
        <f t="shared" si="27"/>
        <v>2</v>
      </c>
      <c r="E132" s="12">
        <f t="shared" si="28"/>
        <v>2018</v>
      </c>
      <c r="F132" s="291">
        <v>210.54581889208697</v>
      </c>
    </row>
    <row r="133" spans="1:14">
      <c r="A133" s="15">
        <v>43160</v>
      </c>
      <c r="B133" s="14">
        <f t="shared" si="25"/>
        <v>43161</v>
      </c>
      <c r="C133" s="14">
        <f t="shared" si="26"/>
        <v>43160</v>
      </c>
      <c r="D133" s="13">
        <f t="shared" si="27"/>
        <v>3</v>
      </c>
      <c r="E133" s="12">
        <f t="shared" si="28"/>
        <v>2018</v>
      </c>
      <c r="F133" s="291">
        <v>211.01809158836602</v>
      </c>
    </row>
    <row r="134" spans="1:14">
      <c r="A134" s="15">
        <v>43191</v>
      </c>
      <c r="B134" s="14">
        <f t="shared" si="25"/>
        <v>43192</v>
      </c>
      <c r="C134" s="14">
        <f t="shared" si="26"/>
        <v>43191</v>
      </c>
      <c r="D134" s="13">
        <f t="shared" si="27"/>
        <v>4</v>
      </c>
      <c r="E134" s="12">
        <f t="shared" si="28"/>
        <v>2018</v>
      </c>
      <c r="F134" s="291">
        <v>211.91022677965302</v>
      </c>
    </row>
    <row r="135" spans="1:14">
      <c r="A135" s="15">
        <v>43221</v>
      </c>
      <c r="B135" s="14">
        <f t="shared" si="25"/>
        <v>43222</v>
      </c>
      <c r="C135" s="14">
        <f t="shared" si="26"/>
        <v>43221</v>
      </c>
      <c r="D135" s="13">
        <f t="shared" si="27"/>
        <v>5</v>
      </c>
      <c r="E135" s="12">
        <f t="shared" si="28"/>
        <v>2018</v>
      </c>
      <c r="F135" s="291">
        <v>212.84487296069699</v>
      </c>
    </row>
    <row r="136" spans="1:14">
      <c r="A136" s="15">
        <v>43252</v>
      </c>
      <c r="B136" s="14">
        <f t="shared" si="25"/>
        <v>43253</v>
      </c>
      <c r="C136" s="14">
        <f t="shared" si="26"/>
        <v>43252</v>
      </c>
      <c r="D136" s="13">
        <f t="shared" si="27"/>
        <v>6</v>
      </c>
      <c r="E136" s="12">
        <f t="shared" si="28"/>
        <v>2018</v>
      </c>
      <c r="F136" s="291">
        <v>213.56151155726897</v>
      </c>
    </row>
    <row r="137" spans="1:14">
      <c r="A137" s="15">
        <v>43282</v>
      </c>
      <c r="B137" s="14">
        <f t="shared" si="25"/>
        <v>43283</v>
      </c>
      <c r="C137" s="14">
        <f t="shared" si="26"/>
        <v>43282</v>
      </c>
      <c r="D137" s="13">
        <f t="shared" si="27"/>
        <v>7</v>
      </c>
      <c r="E137" s="12">
        <f t="shared" si="28"/>
        <v>2018</v>
      </c>
      <c r="F137" s="291">
        <v>214.48544538632498</v>
      </c>
    </row>
    <row r="138" spans="1:14">
      <c r="A138" s="15">
        <v>43313</v>
      </c>
      <c r="B138" s="14">
        <f t="shared" ref="B138:B146" si="29">A138+1</f>
        <v>43314</v>
      </c>
      <c r="C138" s="14">
        <f t="shared" ref="C138:C146" si="30">B138-1</f>
        <v>43313</v>
      </c>
      <c r="D138" s="13">
        <f t="shared" ref="D138:D146" si="31">MONTH(C138)</f>
        <v>8</v>
      </c>
      <c r="E138" s="12">
        <f t="shared" ref="E138:E146" si="32">YEAR(C138)</f>
        <v>2018</v>
      </c>
      <c r="F138" s="291">
        <v>215.379019370321</v>
      </c>
    </row>
    <row r="139" spans="1:14">
      <c r="A139" s="15">
        <v>43344</v>
      </c>
      <c r="B139" s="14">
        <f t="shared" si="29"/>
        <v>43345</v>
      </c>
      <c r="C139" s="14">
        <f t="shared" si="30"/>
        <v>43344</v>
      </c>
      <c r="D139" s="13">
        <f t="shared" si="31"/>
        <v>9</v>
      </c>
      <c r="E139" s="12">
        <f t="shared" si="32"/>
        <v>2018</v>
      </c>
      <c r="F139" s="291">
        <v>216.303013778555</v>
      </c>
    </row>
    <row r="140" spans="1:14">
      <c r="A140" s="15">
        <v>43374</v>
      </c>
      <c r="B140" s="14">
        <f t="shared" si="29"/>
        <v>43375</v>
      </c>
      <c r="C140" s="14">
        <f t="shared" si="30"/>
        <v>43374</v>
      </c>
      <c r="D140" s="13">
        <f t="shared" si="31"/>
        <v>10</v>
      </c>
      <c r="E140" s="12">
        <f t="shared" si="32"/>
        <v>2018</v>
      </c>
      <c r="F140" s="291">
        <v>217.080092814789</v>
      </c>
      <c r="G140" s="10"/>
    </row>
    <row r="141" spans="1:14">
      <c r="A141" s="15">
        <v>43405</v>
      </c>
      <c r="B141" s="14">
        <f t="shared" si="29"/>
        <v>43406</v>
      </c>
      <c r="C141" s="14">
        <f t="shared" si="30"/>
        <v>43405</v>
      </c>
      <c r="D141" s="13">
        <f t="shared" si="31"/>
        <v>11</v>
      </c>
      <c r="E141" s="12">
        <f t="shared" si="32"/>
        <v>2018</v>
      </c>
      <c r="F141" s="291">
        <v>217.464695106227</v>
      </c>
      <c r="G141" s="10"/>
    </row>
    <row r="142" spans="1:14">
      <c r="A142" s="15">
        <v>43435</v>
      </c>
      <c r="B142" s="14">
        <f t="shared" si="29"/>
        <v>43436</v>
      </c>
      <c r="C142" s="14">
        <f t="shared" si="30"/>
        <v>43435</v>
      </c>
      <c r="D142" s="13">
        <f t="shared" si="31"/>
        <v>12</v>
      </c>
      <c r="E142" s="12">
        <f t="shared" si="32"/>
        <v>2018</v>
      </c>
      <c r="F142" s="291">
        <v>218.20572888128601</v>
      </c>
      <c r="G142" s="10"/>
    </row>
    <row r="143" spans="1:14">
      <c r="A143" s="15">
        <v>43466</v>
      </c>
      <c r="B143" s="14">
        <f t="shared" si="29"/>
        <v>43467</v>
      </c>
      <c r="C143" s="14">
        <f t="shared" si="30"/>
        <v>43466</v>
      </c>
      <c r="D143" s="13">
        <f t="shared" si="31"/>
        <v>1</v>
      </c>
      <c r="E143" s="12">
        <f t="shared" si="32"/>
        <v>2019</v>
      </c>
      <c r="F143" s="291">
        <v>218.98595475039599</v>
      </c>
      <c r="G143" s="10"/>
    </row>
    <row r="144" spans="1:14">
      <c r="A144" s="15">
        <v>43497</v>
      </c>
      <c r="B144" s="14">
        <f t="shared" si="29"/>
        <v>43498</v>
      </c>
      <c r="C144" s="14">
        <f t="shared" si="30"/>
        <v>43497</v>
      </c>
      <c r="D144" s="13">
        <f t="shared" si="31"/>
        <v>2</v>
      </c>
      <c r="E144" s="12">
        <f t="shared" si="32"/>
        <v>2019</v>
      </c>
      <c r="F144" s="291">
        <v>220.45832352036598</v>
      </c>
      <c r="G144" s="10"/>
      <c r="H144" s="11"/>
      <c r="I144" s="11"/>
      <c r="J144" s="11"/>
      <c r="K144" s="11"/>
      <c r="L144" s="11"/>
      <c r="M144" s="11"/>
      <c r="N144" s="11"/>
    </row>
    <row r="145" spans="1:14">
      <c r="A145" s="15">
        <v>43525</v>
      </c>
      <c r="B145" s="14">
        <f t="shared" si="29"/>
        <v>43526</v>
      </c>
      <c r="C145" s="14">
        <f t="shared" si="30"/>
        <v>43525</v>
      </c>
      <c r="D145" s="13">
        <f t="shared" si="31"/>
        <v>3</v>
      </c>
      <c r="E145" s="12">
        <f t="shared" si="32"/>
        <v>2019</v>
      </c>
      <c r="F145" s="291">
        <v>219.62794952796099</v>
      </c>
      <c r="G145" s="10"/>
      <c r="H145" s="11"/>
      <c r="I145" s="11"/>
      <c r="J145" s="11"/>
      <c r="K145" s="11"/>
      <c r="L145" s="11"/>
      <c r="M145" s="11"/>
      <c r="N145" s="11"/>
    </row>
    <row r="146" spans="1:14">
      <c r="A146" s="15">
        <v>43556</v>
      </c>
      <c r="B146" s="14">
        <f t="shared" si="29"/>
        <v>43557</v>
      </c>
      <c r="C146" s="14">
        <f t="shared" si="30"/>
        <v>43556</v>
      </c>
      <c r="D146" s="13">
        <f t="shared" si="31"/>
        <v>4</v>
      </c>
      <c r="E146" s="12">
        <f t="shared" si="32"/>
        <v>2019</v>
      </c>
      <c r="F146" s="291">
        <v>219.554172034407</v>
      </c>
      <c r="G146" s="10"/>
      <c r="H146" s="11"/>
      <c r="I146" s="11"/>
      <c r="J146" s="11"/>
      <c r="K146" s="11"/>
      <c r="L146" s="11"/>
      <c r="M146" s="11"/>
      <c r="N146" s="11"/>
    </row>
    <row r="147" spans="1:14">
      <c r="A147" s="15">
        <v>43586</v>
      </c>
      <c r="B147" s="14">
        <f t="shared" ref="B147:B156" si="33">A147+1</f>
        <v>43587</v>
      </c>
      <c r="C147" s="14">
        <f t="shared" ref="C147:C154" si="34">B147-1</f>
        <v>43586</v>
      </c>
      <c r="D147" s="13">
        <f t="shared" ref="D147:D154" si="35">MONTH(C147)</f>
        <v>5</v>
      </c>
      <c r="E147" s="12">
        <f t="shared" ref="E147:E153" si="36">YEAR(C147)</f>
        <v>2019</v>
      </c>
      <c r="F147" s="291">
        <v>219.94662939032099</v>
      </c>
      <c r="G147" s="10"/>
      <c r="H147" s="11"/>
      <c r="I147" s="11"/>
      <c r="J147" s="11"/>
      <c r="K147" s="11"/>
      <c r="L147" s="11"/>
      <c r="M147" s="11"/>
      <c r="N147" s="11"/>
    </row>
    <row r="148" spans="1:14">
      <c r="A148" s="15">
        <v>43617</v>
      </c>
      <c r="B148" s="14">
        <f t="shared" si="33"/>
        <v>43618</v>
      </c>
      <c r="C148" s="14">
        <f t="shared" si="34"/>
        <v>43617</v>
      </c>
      <c r="D148" s="13">
        <f t="shared" si="35"/>
        <v>6</v>
      </c>
      <c r="E148" s="12">
        <f t="shared" si="36"/>
        <v>2019</v>
      </c>
      <c r="F148" s="291">
        <v>220.429286596352</v>
      </c>
      <c r="G148" s="10"/>
      <c r="H148" s="11"/>
      <c r="I148" s="11"/>
      <c r="J148" s="11"/>
      <c r="K148" s="11"/>
      <c r="L148" s="11"/>
      <c r="M148" s="11"/>
      <c r="N148" s="11"/>
    </row>
    <row r="149" spans="1:14">
      <c r="A149" s="15">
        <v>43647</v>
      </c>
      <c r="B149" s="14">
        <f t="shared" si="33"/>
        <v>43648</v>
      </c>
      <c r="C149" s="14">
        <f t="shared" si="34"/>
        <v>43647</v>
      </c>
      <c r="D149" s="13">
        <f t="shared" si="35"/>
        <v>7</v>
      </c>
      <c r="E149" s="12">
        <f t="shared" si="36"/>
        <v>2019</v>
      </c>
      <c r="F149" s="291">
        <v>220.88442494959099</v>
      </c>
      <c r="G149" s="10"/>
      <c r="H149" s="11"/>
      <c r="I149" s="11"/>
      <c r="J149" s="11"/>
      <c r="K149" s="11"/>
      <c r="L149" s="11"/>
      <c r="M149" s="11"/>
      <c r="N149" s="11"/>
    </row>
    <row r="150" spans="1:14">
      <c r="A150" s="15">
        <v>43678</v>
      </c>
      <c r="B150" s="14">
        <f t="shared" si="33"/>
        <v>43679</v>
      </c>
      <c r="C150" s="14">
        <f t="shared" si="34"/>
        <v>43678</v>
      </c>
      <c r="D150" s="13">
        <f t="shared" si="35"/>
        <v>8</v>
      </c>
      <c r="E150" s="12">
        <f t="shared" si="36"/>
        <v>2019</v>
      </c>
      <c r="F150" s="291">
        <v>221.72454485477402</v>
      </c>
      <c r="G150" s="10"/>
      <c r="H150" s="11"/>
      <c r="I150" s="11"/>
      <c r="J150" s="11"/>
      <c r="K150" s="11"/>
      <c r="L150" s="11"/>
      <c r="M150" s="11"/>
      <c r="N150" s="11"/>
    </row>
    <row r="151" spans="1:14">
      <c r="A151" s="15">
        <v>43709</v>
      </c>
      <c r="B151" s="14">
        <f t="shared" si="33"/>
        <v>43710</v>
      </c>
      <c r="C151" s="14">
        <f t="shared" si="34"/>
        <v>43709</v>
      </c>
      <c r="D151" s="13">
        <f t="shared" si="35"/>
        <v>9</v>
      </c>
      <c r="E151" s="12">
        <f t="shared" si="36"/>
        <v>2019</v>
      </c>
      <c r="F151" s="291">
        <v>223.01514745675399</v>
      </c>
      <c r="G151" s="10"/>
      <c r="H151" s="11"/>
      <c r="I151" s="11"/>
      <c r="J151" s="11"/>
      <c r="K151" s="11"/>
      <c r="L151" s="11"/>
      <c r="M151" s="11"/>
      <c r="N151" s="11"/>
    </row>
    <row r="152" spans="1:14">
      <c r="A152" s="15">
        <v>43739</v>
      </c>
      <c r="B152" s="14">
        <f t="shared" si="33"/>
        <v>43740</v>
      </c>
      <c r="C152" s="14">
        <f t="shared" si="34"/>
        <v>43739</v>
      </c>
      <c r="D152" s="13">
        <f t="shared" si="35"/>
        <v>10</v>
      </c>
      <c r="E152" s="12">
        <f t="shared" si="36"/>
        <v>2019</v>
      </c>
      <c r="F152" s="291">
        <v>224.58413694879502</v>
      </c>
      <c r="G152" s="10"/>
      <c r="H152" s="11"/>
      <c r="I152" s="11"/>
      <c r="J152" s="11"/>
      <c r="K152" s="11"/>
      <c r="L152" s="11"/>
      <c r="M152" s="11"/>
      <c r="N152" s="11"/>
    </row>
    <row r="153" spans="1:14">
      <c r="A153" s="15">
        <v>43770</v>
      </c>
      <c r="B153" s="14">
        <f t="shared" si="33"/>
        <v>43771</v>
      </c>
      <c r="C153" s="14">
        <f t="shared" si="34"/>
        <v>43770</v>
      </c>
      <c r="D153" s="13">
        <f t="shared" si="35"/>
        <v>11</v>
      </c>
      <c r="E153" s="12">
        <f t="shared" si="36"/>
        <v>2019</v>
      </c>
      <c r="F153" s="291">
        <v>225.80796969796299</v>
      </c>
      <c r="G153" s="10"/>
      <c r="H153" s="11"/>
      <c r="I153" s="11"/>
      <c r="J153" s="11"/>
      <c r="K153" s="11"/>
      <c r="L153" s="11"/>
      <c r="M153" s="11"/>
      <c r="N153" s="11"/>
    </row>
    <row r="154" spans="1:14">
      <c r="A154" s="15">
        <v>43800</v>
      </c>
      <c r="B154" s="14">
        <f t="shared" si="33"/>
        <v>43801</v>
      </c>
      <c r="C154" s="14">
        <f t="shared" si="34"/>
        <v>43800</v>
      </c>
      <c r="D154" s="13">
        <f t="shared" si="35"/>
        <v>12</v>
      </c>
      <c r="E154" s="12">
        <f t="shared" ref="E154:E155" si="37">YEAR(C154)</f>
        <v>2019</v>
      </c>
      <c r="F154" s="291">
        <v>226.74607862087899</v>
      </c>
      <c r="G154" s="10"/>
      <c r="H154" s="10"/>
      <c r="I154" s="10"/>
      <c r="J154" s="10"/>
      <c r="K154" s="10"/>
      <c r="L154" s="10"/>
      <c r="M154" s="10"/>
      <c r="N154" s="10"/>
    </row>
    <row r="155" spans="1:14">
      <c r="A155" s="15">
        <v>43831</v>
      </c>
      <c r="B155" s="14">
        <f t="shared" ref="B155" si="38">A155+1</f>
        <v>43832</v>
      </c>
      <c r="C155" s="14">
        <f t="shared" ref="C155" si="39">B155-1</f>
        <v>43831</v>
      </c>
      <c r="D155" s="13">
        <f t="shared" ref="D155" si="40">MONTH(C155)</f>
        <v>1</v>
      </c>
      <c r="E155" s="12">
        <f t="shared" si="37"/>
        <v>2020</v>
      </c>
      <c r="F155" s="291">
        <v>227.46925491241001</v>
      </c>
      <c r="G155" s="10"/>
      <c r="H155" s="10"/>
      <c r="I155" s="10"/>
      <c r="J155" s="10"/>
      <c r="K155" s="10"/>
      <c r="L155" s="10"/>
      <c r="M155" s="10"/>
      <c r="N155" s="10"/>
    </row>
    <row r="156" spans="1:14">
      <c r="A156" s="15">
        <v>43862</v>
      </c>
      <c r="B156" s="14">
        <f t="shared" si="33"/>
        <v>43863</v>
      </c>
      <c r="C156" s="14">
        <f t="shared" ref="C156" si="41">B156-1</f>
        <v>43862</v>
      </c>
      <c r="D156" s="13">
        <f t="shared" ref="D156" si="42">MONTH(C156)</f>
        <v>2</v>
      </c>
      <c r="E156" s="12">
        <f t="shared" ref="E156" si="43">YEAR(C156)</f>
        <v>2020</v>
      </c>
      <c r="F156" s="291">
        <v>228.24646321377102</v>
      </c>
      <c r="G156" s="10"/>
      <c r="H156" s="10"/>
      <c r="I156" s="10"/>
      <c r="J156" s="10"/>
      <c r="K156" s="10"/>
      <c r="L156" s="10"/>
      <c r="M156" s="10"/>
      <c r="N156" s="10"/>
    </row>
    <row r="157" spans="1:14">
      <c r="A157" s="15">
        <v>43891</v>
      </c>
      <c r="B157" s="14">
        <f t="shared" ref="B157:B162" si="44">A157+1</f>
        <v>43892</v>
      </c>
      <c r="C157" s="14">
        <f t="shared" ref="C157:C162" si="45">B157-1</f>
        <v>43891</v>
      </c>
      <c r="D157" s="13">
        <f t="shared" ref="D157:D162" si="46">MONTH(C157)</f>
        <v>3</v>
      </c>
      <c r="E157" s="12">
        <f t="shared" ref="E157:E162" si="47">YEAR(C157)</f>
        <v>2020</v>
      </c>
      <c r="F157" s="291">
        <v>227.58148385579</v>
      </c>
      <c r="G157" s="10"/>
      <c r="H157" s="10"/>
      <c r="I157" s="10"/>
      <c r="J157" s="10"/>
      <c r="K157" s="10"/>
      <c r="L157" s="10"/>
      <c r="M157" s="10"/>
      <c r="N157" s="10"/>
    </row>
    <row r="158" spans="1:14">
      <c r="A158" s="15">
        <v>43922</v>
      </c>
      <c r="B158" s="14">
        <f t="shared" si="44"/>
        <v>43923</v>
      </c>
      <c r="C158" s="14">
        <f t="shared" si="45"/>
        <v>43922</v>
      </c>
      <c r="D158" s="13">
        <f t="shared" si="46"/>
        <v>4</v>
      </c>
      <c r="E158" s="12">
        <f t="shared" si="47"/>
        <v>2020</v>
      </c>
      <c r="F158" s="291">
        <v>227.77825040458501</v>
      </c>
      <c r="G158" s="10"/>
      <c r="H158" s="10"/>
      <c r="I158" s="10"/>
      <c r="J158" s="10"/>
      <c r="K158" s="10"/>
      <c r="L158" s="10"/>
      <c r="M158" s="10"/>
      <c r="N158" s="10"/>
    </row>
    <row r="159" spans="1:14">
      <c r="A159" s="15">
        <v>43952</v>
      </c>
      <c r="B159" s="14">
        <f t="shared" si="44"/>
        <v>43953</v>
      </c>
      <c r="C159" s="14">
        <f t="shared" si="45"/>
        <v>43952</v>
      </c>
      <c r="D159" s="13">
        <f t="shared" si="46"/>
        <v>5</v>
      </c>
      <c r="E159" s="12">
        <f t="shared" si="47"/>
        <v>2020</v>
      </c>
      <c r="F159" s="291">
        <v>228.039369803656</v>
      </c>
      <c r="G159" s="10"/>
      <c r="H159" s="10"/>
      <c r="I159" s="10"/>
      <c r="J159" s="10"/>
      <c r="K159" s="10"/>
      <c r="L159" s="10"/>
      <c r="M159" s="10"/>
      <c r="N159" s="10"/>
    </row>
    <row r="160" spans="1:14">
      <c r="A160" s="15">
        <v>43983</v>
      </c>
      <c r="B160" s="14">
        <f t="shared" si="44"/>
        <v>43984</v>
      </c>
      <c r="C160" s="14">
        <f t="shared" si="45"/>
        <v>43983</v>
      </c>
      <c r="D160" s="13">
        <f t="shared" si="46"/>
        <v>6</v>
      </c>
      <c r="E160" s="12">
        <f t="shared" si="47"/>
        <v>2020</v>
      </c>
      <c r="F160" s="291">
        <v>228.856855488485</v>
      </c>
      <c r="G160" s="10"/>
      <c r="H160" s="10"/>
      <c r="I160" s="10"/>
      <c r="J160" s="10"/>
      <c r="K160" s="10"/>
      <c r="L160" s="10"/>
      <c r="M160" s="10"/>
      <c r="N160" s="10"/>
    </row>
    <row r="161" spans="1:14">
      <c r="A161" s="15">
        <v>44013</v>
      </c>
      <c r="B161" s="14">
        <f t="shared" si="44"/>
        <v>44014</v>
      </c>
      <c r="C161" s="14">
        <f t="shared" si="45"/>
        <v>44013</v>
      </c>
      <c r="D161" s="13">
        <f t="shared" si="46"/>
        <v>7</v>
      </c>
      <c r="E161" s="12">
        <f t="shared" si="47"/>
        <v>2020</v>
      </c>
      <c r="F161" s="291">
        <v>230.287017531983</v>
      </c>
      <c r="G161" s="10"/>
      <c r="H161" s="10"/>
      <c r="I161" s="10"/>
      <c r="J161" s="10"/>
      <c r="K161" s="10"/>
      <c r="L161" s="10"/>
      <c r="M161" s="10"/>
      <c r="N161" s="10"/>
    </row>
    <row r="162" spans="1:14">
      <c r="A162" s="15">
        <v>44044</v>
      </c>
      <c r="B162" s="14">
        <f t="shared" si="44"/>
        <v>44045</v>
      </c>
      <c r="C162" s="14">
        <f t="shared" si="45"/>
        <v>44044</v>
      </c>
      <c r="D162" s="13">
        <f t="shared" si="46"/>
        <v>8</v>
      </c>
      <c r="E162" s="12">
        <f t="shared" si="47"/>
        <v>2020</v>
      </c>
      <c r="F162" s="291">
        <v>233.48580772168</v>
      </c>
      <c r="G162" s="10"/>
      <c r="H162" s="10"/>
      <c r="I162" s="10"/>
      <c r="J162" s="10"/>
      <c r="K162" s="10"/>
      <c r="L162" s="10"/>
      <c r="M162" s="10"/>
      <c r="N162" s="10"/>
    </row>
    <row r="163" spans="1:14">
      <c r="A163" s="15">
        <v>44075</v>
      </c>
      <c r="B163" s="14">
        <f t="shared" ref="B163:B165" si="48">A163+1</f>
        <v>44076</v>
      </c>
      <c r="C163" s="14">
        <f t="shared" ref="C163:C165" si="49">B163-1</f>
        <v>44075</v>
      </c>
      <c r="D163" s="13">
        <f t="shared" ref="D163:D165" si="50">MONTH(C163)</f>
        <v>9</v>
      </c>
      <c r="E163" s="12">
        <f t="shared" ref="E163:E165" si="51">YEAR(C163)</f>
        <v>2020</v>
      </c>
      <c r="F163" s="291">
        <v>236.64309858984501</v>
      </c>
      <c r="G163" s="10"/>
      <c r="H163" s="10"/>
      <c r="I163" s="10"/>
      <c r="J163" s="10"/>
      <c r="K163" s="10"/>
      <c r="L163" s="10"/>
      <c r="M163" s="10"/>
      <c r="N163" s="10"/>
    </row>
    <row r="164" spans="1:14">
      <c r="A164" s="15">
        <v>44105</v>
      </c>
      <c r="B164" s="14">
        <f t="shared" si="48"/>
        <v>44106</v>
      </c>
      <c r="C164" s="14">
        <f t="shared" si="49"/>
        <v>44105</v>
      </c>
      <c r="D164" s="13">
        <f t="shared" si="50"/>
        <v>10</v>
      </c>
      <c r="E164" s="12">
        <f t="shared" si="51"/>
        <v>2020</v>
      </c>
      <c r="F164" s="291">
        <v>240.74831992300599</v>
      </c>
      <c r="G164" s="10"/>
      <c r="H164" s="10"/>
      <c r="I164" s="10"/>
      <c r="J164" s="10"/>
      <c r="K164" s="10"/>
      <c r="L164" s="10"/>
      <c r="M164" s="10"/>
      <c r="N164" s="10"/>
    </row>
    <row r="165" spans="1:14">
      <c r="A165" s="15">
        <v>44136</v>
      </c>
      <c r="B165" s="14">
        <f t="shared" si="48"/>
        <v>44137</v>
      </c>
      <c r="C165" s="14">
        <f t="shared" si="49"/>
        <v>44136</v>
      </c>
      <c r="D165" s="13">
        <f t="shared" si="50"/>
        <v>11</v>
      </c>
      <c r="E165" s="12">
        <f t="shared" si="51"/>
        <v>2020</v>
      </c>
      <c r="F165" s="291">
        <v>244.52842069665201</v>
      </c>
      <c r="G165" s="10"/>
      <c r="H165" s="10"/>
      <c r="I165" s="10"/>
      <c r="J165" s="10"/>
      <c r="K165" s="10"/>
      <c r="L165" s="10"/>
      <c r="M165" s="10"/>
      <c r="N165" s="10"/>
    </row>
    <row r="166" spans="1:14">
      <c r="A166" s="15">
        <v>44166</v>
      </c>
      <c r="B166" s="14">
        <f t="shared" ref="B166:B167" si="52">A166+1</f>
        <v>44167</v>
      </c>
      <c r="C166" s="14">
        <f t="shared" ref="C166:C167" si="53">B166-1</f>
        <v>44166</v>
      </c>
      <c r="D166" s="13">
        <f t="shared" ref="D166:D167" si="54">MONTH(C166)</f>
        <v>12</v>
      </c>
      <c r="E166" s="12">
        <f t="shared" ref="E166:E167" si="55">YEAR(C166)</f>
        <v>2020</v>
      </c>
      <c r="F166" s="291">
        <v>248.23411174213501</v>
      </c>
      <c r="G166" s="10"/>
      <c r="H166" s="10"/>
      <c r="I166" s="10"/>
      <c r="J166" s="10"/>
      <c r="K166" s="10"/>
      <c r="L166" s="10"/>
      <c r="M166" s="10"/>
      <c r="N166" s="10"/>
    </row>
    <row r="167" spans="1:14">
      <c r="A167" s="15">
        <v>44197</v>
      </c>
      <c r="B167" s="14">
        <f t="shared" si="52"/>
        <v>44198</v>
      </c>
      <c r="C167" s="14">
        <f t="shared" si="53"/>
        <v>44197</v>
      </c>
      <c r="D167" s="13">
        <f t="shared" si="54"/>
        <v>1</v>
      </c>
      <c r="E167" s="12">
        <f t="shared" si="55"/>
        <v>2021</v>
      </c>
      <c r="F167" s="291">
        <v>250.82892926780201</v>
      </c>
      <c r="G167" s="10"/>
      <c r="H167" s="10"/>
      <c r="I167" s="10"/>
      <c r="J167" s="10"/>
      <c r="K167" s="10"/>
      <c r="L167" s="10"/>
      <c r="M167" s="10"/>
      <c r="N167" s="10"/>
    </row>
    <row r="168" spans="1:14">
      <c r="A168" s="15">
        <v>44228</v>
      </c>
      <c r="B168" s="14">
        <f t="shared" ref="B168:B177" si="56">A168+1</f>
        <v>44229</v>
      </c>
      <c r="C168" s="14">
        <f t="shared" ref="C168:C177" si="57">B168-1</f>
        <v>44228</v>
      </c>
      <c r="D168" s="13">
        <f t="shared" ref="D168:D177" si="58">MONTH(C168)</f>
        <v>2</v>
      </c>
      <c r="E168" s="12">
        <f t="shared" ref="E168:E177" si="59">YEAR(C168)</f>
        <v>2021</v>
      </c>
      <c r="F168" s="291">
        <v>254.609898015298</v>
      </c>
      <c r="G168" s="10"/>
      <c r="H168" s="10"/>
      <c r="I168" s="10"/>
      <c r="J168" s="10"/>
      <c r="K168" s="10"/>
      <c r="L168" s="10"/>
      <c r="M168" s="10"/>
      <c r="N168" s="10"/>
    </row>
    <row r="169" spans="1:14">
      <c r="A169" s="15">
        <v>44256</v>
      </c>
      <c r="B169" s="14">
        <f t="shared" si="56"/>
        <v>44257</v>
      </c>
      <c r="C169" s="14">
        <f t="shared" si="57"/>
        <v>44256</v>
      </c>
      <c r="D169" s="13">
        <f t="shared" si="58"/>
        <v>3</v>
      </c>
      <c r="E169" s="12">
        <f t="shared" si="59"/>
        <v>2021</v>
      </c>
      <c r="F169" s="291">
        <v>258.32096362742601</v>
      </c>
      <c r="G169" s="10"/>
      <c r="H169" s="10"/>
      <c r="I169" s="10"/>
      <c r="J169" s="10"/>
      <c r="K169" s="10"/>
      <c r="L169" s="10"/>
      <c r="M169" s="10"/>
      <c r="N169" s="10"/>
    </row>
    <row r="170" spans="1:14">
      <c r="A170" s="15">
        <v>44287</v>
      </c>
      <c r="B170" s="14">
        <f t="shared" si="56"/>
        <v>44288</v>
      </c>
      <c r="C170" s="14">
        <f t="shared" si="57"/>
        <v>44287</v>
      </c>
      <c r="D170" s="13">
        <f t="shared" si="58"/>
        <v>4</v>
      </c>
      <c r="E170" s="12">
        <f t="shared" si="59"/>
        <v>2021</v>
      </c>
      <c r="F170" s="291">
        <v>262.322796585167</v>
      </c>
      <c r="G170" s="10"/>
      <c r="H170" s="10"/>
      <c r="I170" s="10"/>
      <c r="J170" s="10"/>
      <c r="K170" s="10"/>
      <c r="L170" s="10"/>
      <c r="M170" s="10"/>
      <c r="N170" s="10"/>
    </row>
    <row r="171" spans="1:14">
      <c r="A171" s="15">
        <v>44317</v>
      </c>
      <c r="B171" s="14">
        <f t="shared" si="56"/>
        <v>44318</v>
      </c>
      <c r="C171" s="14">
        <f t="shared" si="57"/>
        <v>44317</v>
      </c>
      <c r="D171" s="13">
        <f t="shared" si="58"/>
        <v>5</v>
      </c>
      <c r="E171" s="12">
        <f t="shared" si="59"/>
        <v>2021</v>
      </c>
      <c r="F171" s="291">
        <v>267.26627580486002</v>
      </c>
      <c r="G171" s="10"/>
      <c r="H171" s="10"/>
      <c r="I171" s="10"/>
      <c r="J171" s="10"/>
      <c r="K171" s="10"/>
      <c r="L171" s="10"/>
      <c r="M171" s="10"/>
      <c r="N171" s="10"/>
    </row>
    <row r="172" spans="1:14">
      <c r="A172" s="15">
        <v>44348</v>
      </c>
      <c r="B172" s="14">
        <f t="shared" si="56"/>
        <v>44349</v>
      </c>
      <c r="C172" s="14">
        <f t="shared" si="57"/>
        <v>44348</v>
      </c>
      <c r="D172" s="13">
        <f t="shared" si="58"/>
        <v>6</v>
      </c>
      <c r="E172" s="12">
        <f t="shared" si="59"/>
        <v>2021</v>
      </c>
      <c r="F172" s="291">
        <v>273.34100063557901</v>
      </c>
      <c r="G172" s="10"/>
      <c r="H172" s="10"/>
      <c r="I172" s="10"/>
      <c r="J172" s="10"/>
      <c r="K172" s="10"/>
      <c r="L172" s="10"/>
      <c r="M172" s="10"/>
      <c r="N172" s="10"/>
    </row>
    <row r="173" spans="1:14">
      <c r="A173" s="15">
        <v>44378</v>
      </c>
      <c r="B173" s="14">
        <f t="shared" si="56"/>
        <v>44379</v>
      </c>
      <c r="C173" s="14">
        <f t="shared" si="57"/>
        <v>44378</v>
      </c>
      <c r="D173" s="13">
        <f t="shared" si="58"/>
        <v>7</v>
      </c>
      <c r="E173" s="12">
        <f t="shared" si="59"/>
        <v>2021</v>
      </c>
      <c r="F173" s="291">
        <v>278.99505791833099</v>
      </c>
      <c r="G173" s="10"/>
      <c r="H173" s="10"/>
      <c r="I173" s="10"/>
      <c r="J173" s="10"/>
      <c r="K173" s="10"/>
      <c r="L173" s="10"/>
      <c r="M173" s="10"/>
      <c r="N173" s="10"/>
    </row>
    <row r="174" spans="1:14">
      <c r="A174" s="15">
        <v>44409</v>
      </c>
      <c r="B174" s="14">
        <f t="shared" si="56"/>
        <v>44410</v>
      </c>
      <c r="C174" s="14">
        <f t="shared" si="57"/>
        <v>44409</v>
      </c>
      <c r="D174" s="13">
        <f t="shared" si="58"/>
        <v>8</v>
      </c>
      <c r="E174" s="12">
        <f t="shared" si="59"/>
        <v>2021</v>
      </c>
      <c r="F174" s="291">
        <v>283.713111086288</v>
      </c>
      <c r="G174" s="10"/>
      <c r="H174" s="10"/>
      <c r="I174" s="10"/>
      <c r="J174" s="10"/>
      <c r="K174" s="10"/>
      <c r="L174" s="10"/>
      <c r="M174" s="10"/>
      <c r="N174" s="10"/>
    </row>
    <row r="175" spans="1:14">
      <c r="A175" s="15">
        <v>44440</v>
      </c>
      <c r="B175" s="14">
        <f t="shared" si="56"/>
        <v>44441</v>
      </c>
      <c r="C175" s="14">
        <f t="shared" si="57"/>
        <v>44440</v>
      </c>
      <c r="D175" s="13">
        <f t="shared" si="58"/>
        <v>9</v>
      </c>
      <c r="E175" s="12">
        <f t="shared" si="59"/>
        <v>2021</v>
      </c>
      <c r="F175" s="291">
        <v>287.01058469494097</v>
      </c>
      <c r="G175" s="10"/>
      <c r="H175" s="10"/>
      <c r="I175" s="10"/>
      <c r="J175" s="10"/>
      <c r="K175" s="10"/>
      <c r="L175" s="10"/>
      <c r="M175" s="10"/>
      <c r="N175" s="10"/>
    </row>
    <row r="176" spans="1:14">
      <c r="A176" s="15">
        <v>44470</v>
      </c>
      <c r="B176" s="14">
        <f t="shared" si="56"/>
        <v>44471</v>
      </c>
      <c r="C176" s="14">
        <f t="shared" si="57"/>
        <v>44470</v>
      </c>
      <c r="D176" s="13">
        <f t="shared" si="58"/>
        <v>10</v>
      </c>
      <c r="E176" s="12">
        <f t="shared" si="59"/>
        <v>2021</v>
      </c>
      <c r="F176" s="291">
        <v>289.96558943060199</v>
      </c>
      <c r="G176" s="10"/>
      <c r="H176" s="10"/>
      <c r="I176" s="10"/>
      <c r="J176" s="10"/>
      <c r="K176" s="10"/>
      <c r="L176" s="10"/>
      <c r="M176" s="10"/>
      <c r="N176" s="10"/>
    </row>
    <row r="177" spans="1:14">
      <c r="A177" s="15">
        <v>44501</v>
      </c>
      <c r="B177" s="14">
        <f t="shared" si="56"/>
        <v>44502</v>
      </c>
      <c r="C177" s="14">
        <f t="shared" si="57"/>
        <v>44501</v>
      </c>
      <c r="D177" s="13">
        <f t="shared" si="58"/>
        <v>11</v>
      </c>
      <c r="E177" s="12">
        <f t="shared" si="59"/>
        <v>2021</v>
      </c>
      <c r="F177" s="291">
        <v>293.99152806023602</v>
      </c>
      <c r="G177" s="10"/>
      <c r="H177" s="10"/>
      <c r="I177" s="10"/>
      <c r="J177" s="10"/>
      <c r="K177" s="10"/>
      <c r="L177" s="10"/>
      <c r="M177" s="10"/>
      <c r="N177" s="10"/>
    </row>
    <row r="178" spans="1:14">
      <c r="A178" s="15">
        <v>44531</v>
      </c>
      <c r="B178" s="14">
        <f t="shared" ref="B178:B191" si="60">A178+1</f>
        <v>44532</v>
      </c>
      <c r="C178" s="14">
        <f t="shared" ref="C178:C191" si="61">B178-1</f>
        <v>44531</v>
      </c>
      <c r="D178" s="13">
        <f t="shared" ref="D178:D191" si="62">MONTH(C178)</f>
        <v>12</v>
      </c>
      <c r="E178" s="12">
        <f t="shared" ref="E178:E191" si="63">YEAR(C178)</f>
        <v>2021</v>
      </c>
      <c r="F178" s="291">
        <v>299.10966336949701</v>
      </c>
      <c r="G178" s="10"/>
      <c r="H178" s="10"/>
      <c r="I178" s="10"/>
      <c r="J178" s="10"/>
      <c r="K178" s="10"/>
      <c r="L178" s="10"/>
      <c r="M178" s="10"/>
      <c r="N178" s="10"/>
    </row>
    <row r="179" spans="1:14">
      <c r="A179" s="15">
        <v>44562</v>
      </c>
      <c r="B179" s="14">
        <f t="shared" si="60"/>
        <v>44563</v>
      </c>
      <c r="C179" s="14">
        <f t="shared" si="61"/>
        <v>44562</v>
      </c>
      <c r="D179" s="13">
        <f t="shared" si="62"/>
        <v>1</v>
      </c>
      <c r="E179" s="12">
        <f t="shared" si="63"/>
        <v>2022</v>
      </c>
      <c r="F179" s="291">
        <v>303.26937343190798</v>
      </c>
      <c r="G179" s="10"/>
      <c r="H179" s="10"/>
      <c r="I179" s="10"/>
      <c r="J179" s="10"/>
      <c r="K179" s="10"/>
      <c r="L179" s="10"/>
      <c r="M179" s="10"/>
      <c r="N179" s="10"/>
    </row>
    <row r="180" spans="1:14">
      <c r="A180" s="15">
        <v>44593</v>
      </c>
      <c r="B180" s="14">
        <f t="shared" si="60"/>
        <v>44594</v>
      </c>
      <c r="C180" s="14">
        <f t="shared" si="61"/>
        <v>44593</v>
      </c>
      <c r="D180" s="13">
        <f t="shared" si="62"/>
        <v>2</v>
      </c>
      <c r="E180" s="12">
        <f t="shared" si="63"/>
        <v>2022</v>
      </c>
      <c r="F180" s="291">
        <v>311.51429087662899</v>
      </c>
      <c r="G180" s="10"/>
      <c r="H180" s="10"/>
      <c r="I180" s="10"/>
      <c r="J180" s="10"/>
      <c r="K180" s="10"/>
      <c r="L180" s="10"/>
      <c r="M180" s="10"/>
      <c r="N180" s="10"/>
    </row>
    <row r="181" spans="1:14">
      <c r="A181" s="15">
        <v>44621</v>
      </c>
      <c r="B181" s="14">
        <f t="shared" si="60"/>
        <v>44622</v>
      </c>
      <c r="C181" s="14">
        <f t="shared" si="61"/>
        <v>44621</v>
      </c>
      <c r="D181" s="13">
        <f t="shared" si="62"/>
        <v>3</v>
      </c>
      <c r="E181" s="12">
        <f t="shared" si="63"/>
        <v>2022</v>
      </c>
      <c r="F181" s="291">
        <v>319.18670926879201</v>
      </c>
      <c r="G181" s="10"/>
      <c r="H181" s="10"/>
      <c r="I181" s="10"/>
      <c r="J181" s="10"/>
      <c r="K181" s="10"/>
      <c r="L181" s="10"/>
      <c r="M181" s="10"/>
      <c r="N181" s="10"/>
    </row>
    <row r="182" spans="1:14">
      <c r="A182" s="15">
        <v>44652</v>
      </c>
      <c r="B182" s="14">
        <f t="shared" si="60"/>
        <v>44653</v>
      </c>
      <c r="C182" s="14">
        <f t="shared" si="61"/>
        <v>44652</v>
      </c>
      <c r="D182" s="13">
        <f t="shared" si="62"/>
        <v>4</v>
      </c>
      <c r="E182" s="12">
        <f t="shared" si="63"/>
        <v>2022</v>
      </c>
      <c r="F182" s="291">
        <v>323.73747345330503</v>
      </c>
      <c r="G182" s="10"/>
      <c r="H182" s="10"/>
      <c r="I182" s="10"/>
      <c r="J182" s="10"/>
      <c r="K182" s="10"/>
      <c r="L182" s="10"/>
      <c r="M182" s="10"/>
      <c r="N182" s="10"/>
    </row>
    <row r="183" spans="1:14">
      <c r="A183" s="15">
        <v>44682</v>
      </c>
      <c r="B183" s="14">
        <f t="shared" si="60"/>
        <v>44683</v>
      </c>
      <c r="C183" s="14">
        <f t="shared" si="61"/>
        <v>44682</v>
      </c>
      <c r="D183" s="13">
        <f t="shared" si="62"/>
        <v>5</v>
      </c>
      <c r="E183" s="12">
        <f t="shared" si="63"/>
        <v>2022</v>
      </c>
      <c r="F183" s="291">
        <v>326.029381672314</v>
      </c>
      <c r="G183" s="10"/>
      <c r="H183" s="10"/>
      <c r="I183" s="10"/>
      <c r="J183" s="10"/>
      <c r="K183" s="10"/>
      <c r="L183" s="10"/>
      <c r="M183" s="10"/>
      <c r="N183" s="10"/>
    </row>
    <row r="184" spans="1:14">
      <c r="A184" s="15">
        <v>44713</v>
      </c>
      <c r="B184" s="14">
        <f t="shared" si="60"/>
        <v>44714</v>
      </c>
      <c r="C184" s="14">
        <f t="shared" si="61"/>
        <v>44713</v>
      </c>
      <c r="D184" s="13">
        <f t="shared" si="62"/>
        <v>6</v>
      </c>
      <c r="E184" s="12">
        <f t="shared" si="63"/>
        <v>2022</v>
      </c>
      <c r="F184" s="291">
        <v>325.6823944102</v>
      </c>
      <c r="G184" s="10"/>
      <c r="H184" s="10"/>
      <c r="I184" s="10"/>
      <c r="J184" s="10"/>
      <c r="K184" s="10"/>
      <c r="L184" s="10"/>
      <c r="M184" s="10"/>
      <c r="N184" s="10"/>
    </row>
    <row r="185" spans="1:14">
      <c r="A185" s="15">
        <v>44743</v>
      </c>
      <c r="B185" s="14">
        <f t="shared" si="60"/>
        <v>44744</v>
      </c>
      <c r="C185" s="14">
        <f t="shared" si="61"/>
        <v>44743</v>
      </c>
      <c r="D185" s="13">
        <f t="shared" si="62"/>
        <v>7</v>
      </c>
      <c r="E185" s="12">
        <f t="shared" si="63"/>
        <v>2022</v>
      </c>
      <c r="F185" s="291">
        <v>322.16357190243502</v>
      </c>
      <c r="G185" s="10"/>
      <c r="H185" s="10"/>
      <c r="I185" s="10"/>
      <c r="J185" s="10"/>
      <c r="K185" s="10"/>
      <c r="L185" s="10"/>
      <c r="M185" s="10"/>
      <c r="N185" s="10"/>
    </row>
    <row r="186" spans="1:14">
      <c r="A186" s="15">
        <v>44774</v>
      </c>
      <c r="B186" s="14">
        <f t="shared" si="60"/>
        <v>44775</v>
      </c>
      <c r="C186" s="14">
        <f t="shared" si="61"/>
        <v>44774</v>
      </c>
      <c r="D186" s="13">
        <f t="shared" si="62"/>
        <v>8</v>
      </c>
      <c r="E186" s="12">
        <f t="shared" si="63"/>
        <v>2022</v>
      </c>
      <c r="F186" s="291">
        <v>317.64109925363095</v>
      </c>
      <c r="G186" s="10"/>
      <c r="H186" s="10"/>
      <c r="I186" s="10"/>
      <c r="J186" s="10"/>
      <c r="K186" s="10"/>
      <c r="L186" s="10"/>
      <c r="M186" s="10"/>
      <c r="N186" s="10"/>
    </row>
    <row r="187" spans="1:14">
      <c r="A187" s="15">
        <v>44805</v>
      </c>
      <c r="B187" s="14">
        <f t="shared" si="60"/>
        <v>44806</v>
      </c>
      <c r="C187" s="14">
        <f t="shared" si="61"/>
        <v>44805</v>
      </c>
      <c r="D187" s="13">
        <f t="shared" si="62"/>
        <v>9</v>
      </c>
      <c r="E187" s="12">
        <f t="shared" si="63"/>
        <v>2022</v>
      </c>
      <c r="F187" s="291">
        <v>313.80983398409097</v>
      </c>
      <c r="G187" s="10"/>
      <c r="H187" s="10"/>
      <c r="I187" s="10"/>
      <c r="J187" s="10"/>
      <c r="K187" s="10"/>
      <c r="L187" s="10"/>
      <c r="M187" s="10"/>
      <c r="N187" s="10"/>
    </row>
    <row r="188" spans="1:14">
      <c r="A188" s="15">
        <v>44835</v>
      </c>
      <c r="B188" s="14">
        <f t="shared" si="60"/>
        <v>44836</v>
      </c>
      <c r="C188" s="14">
        <f t="shared" si="61"/>
        <v>44835</v>
      </c>
      <c r="D188" s="13">
        <f t="shared" si="62"/>
        <v>10</v>
      </c>
      <c r="E188" s="12">
        <f t="shared" si="63"/>
        <v>2022</v>
      </c>
      <c r="F188" s="291">
        <v>313.14322585217002</v>
      </c>
      <c r="G188" s="10"/>
      <c r="H188" s="10"/>
      <c r="I188" s="10"/>
      <c r="J188" s="10"/>
      <c r="K188" s="10"/>
      <c r="L188" s="10"/>
      <c r="M188" s="10"/>
      <c r="N188" s="10"/>
    </row>
    <row r="189" spans="1:14">
      <c r="A189" s="15">
        <v>44866</v>
      </c>
      <c r="B189" s="14">
        <f t="shared" si="60"/>
        <v>44867</v>
      </c>
      <c r="C189" s="14">
        <f t="shared" si="61"/>
        <v>44866</v>
      </c>
      <c r="D189" s="13">
        <f t="shared" si="62"/>
        <v>11</v>
      </c>
      <c r="E189" s="12">
        <f t="shared" si="63"/>
        <v>2022</v>
      </c>
      <c r="F189" s="291">
        <v>312.327426656694</v>
      </c>
      <c r="G189" s="10"/>
      <c r="H189" s="10"/>
      <c r="I189" s="10"/>
      <c r="J189" s="10"/>
      <c r="K189" s="10"/>
      <c r="L189" s="10"/>
      <c r="M189" s="10"/>
      <c r="N189" s="10"/>
    </row>
    <row r="190" spans="1:14">
      <c r="A190" s="15">
        <v>44896</v>
      </c>
      <c r="B190" s="14">
        <f t="shared" si="60"/>
        <v>44897</v>
      </c>
      <c r="C190" s="14">
        <f t="shared" si="61"/>
        <v>44896</v>
      </c>
      <c r="D190" s="13">
        <f t="shared" si="62"/>
        <v>12</v>
      </c>
      <c r="E190" s="12">
        <f t="shared" si="63"/>
        <v>2022</v>
      </c>
      <c r="F190" s="291">
        <v>310.163936345553</v>
      </c>
      <c r="G190" s="10"/>
      <c r="H190" s="10"/>
      <c r="I190" s="10"/>
      <c r="J190" s="10"/>
      <c r="K190" s="10"/>
      <c r="L190" s="10"/>
      <c r="M190" s="10"/>
      <c r="N190" s="10"/>
    </row>
    <row r="191" spans="1:14">
      <c r="A191" s="15">
        <v>44927</v>
      </c>
      <c r="B191" s="14">
        <f t="shared" si="60"/>
        <v>44928</v>
      </c>
      <c r="C191" s="14">
        <f t="shared" si="61"/>
        <v>44927</v>
      </c>
      <c r="D191" s="13">
        <f t="shared" si="62"/>
        <v>1</v>
      </c>
      <c r="E191" s="12">
        <f t="shared" si="63"/>
        <v>2023</v>
      </c>
      <c r="F191" s="291">
        <v>306.55985037716204</v>
      </c>
      <c r="G191" s="10"/>
      <c r="H191" s="10"/>
      <c r="I191" s="10"/>
      <c r="J191" s="10"/>
      <c r="K191" s="10"/>
      <c r="L191" s="10"/>
      <c r="M191" s="10"/>
      <c r="N191" s="10"/>
    </row>
    <row r="192" spans="1:14">
      <c r="A192" s="15">
        <v>44958</v>
      </c>
      <c r="B192" s="14">
        <f t="shared" ref="B192:B202" si="64">A192+1</f>
        <v>44959</v>
      </c>
      <c r="C192" s="14">
        <f t="shared" ref="C192:C202" si="65">B192-1</f>
        <v>44958</v>
      </c>
      <c r="D192" s="13">
        <f t="shared" ref="D192:D202" si="66">MONTH(C192)</f>
        <v>2</v>
      </c>
      <c r="E192" s="12">
        <f t="shared" ref="E192:E202" si="67">YEAR(C192)</f>
        <v>2023</v>
      </c>
      <c r="F192" s="10">
        <v>307.87059022842101</v>
      </c>
      <c r="G192" s="10"/>
      <c r="H192" s="10"/>
      <c r="I192" s="10"/>
      <c r="J192" s="10"/>
      <c r="K192" s="10"/>
      <c r="L192" s="10"/>
      <c r="M192" s="10"/>
      <c r="N192" s="10"/>
    </row>
    <row r="193" spans="1:14">
      <c r="A193" s="15">
        <v>44986</v>
      </c>
      <c r="B193" s="14">
        <f t="shared" si="64"/>
        <v>44987</v>
      </c>
      <c r="C193" s="14">
        <f t="shared" si="65"/>
        <v>44986</v>
      </c>
      <c r="D193" s="13">
        <f t="shared" si="66"/>
        <v>3</v>
      </c>
      <c r="E193" s="12">
        <f t="shared" si="67"/>
        <v>2023</v>
      </c>
      <c r="F193" s="10">
        <v>307.68974232963899</v>
      </c>
      <c r="G193" s="10"/>
      <c r="H193" s="10"/>
      <c r="I193" s="10"/>
      <c r="J193" s="10"/>
      <c r="K193" s="10"/>
      <c r="L193" s="10"/>
      <c r="M193" s="10"/>
      <c r="N193" s="10"/>
    </row>
    <row r="194" spans="1:14">
      <c r="A194" s="15">
        <v>45017</v>
      </c>
      <c r="B194" s="14">
        <f t="shared" si="64"/>
        <v>45018</v>
      </c>
      <c r="C194" s="14">
        <f t="shared" si="65"/>
        <v>45017</v>
      </c>
      <c r="D194" s="13">
        <f t="shared" si="66"/>
        <v>4</v>
      </c>
      <c r="E194" s="12">
        <f t="shared" si="67"/>
        <v>2023</v>
      </c>
      <c r="F194" s="9">
        <v>308.77264170070902</v>
      </c>
    </row>
    <row r="195" spans="1:14">
      <c r="A195" s="15">
        <v>45047</v>
      </c>
      <c r="B195" s="14">
        <f t="shared" si="64"/>
        <v>45048</v>
      </c>
      <c r="C195" s="14">
        <f t="shared" si="65"/>
        <v>45047</v>
      </c>
      <c r="D195" s="13">
        <f t="shared" si="66"/>
        <v>5</v>
      </c>
      <c r="E195" s="12">
        <f t="shared" si="67"/>
        <v>2023</v>
      </c>
      <c r="F195" s="9">
        <v>309.908407818375</v>
      </c>
    </row>
    <row r="196" spans="1:14">
      <c r="A196" s="15">
        <v>45078</v>
      </c>
      <c r="B196" s="14">
        <f t="shared" si="64"/>
        <v>45079</v>
      </c>
      <c r="C196" s="14">
        <f t="shared" si="65"/>
        <v>45078</v>
      </c>
      <c r="D196" s="13">
        <f t="shared" si="66"/>
        <v>6</v>
      </c>
      <c r="E196" s="12">
        <f t="shared" si="67"/>
        <v>2023</v>
      </c>
      <c r="F196" s="9">
        <v>311.223892290751</v>
      </c>
    </row>
    <row r="197" spans="1:14">
      <c r="A197" s="15">
        <v>45108</v>
      </c>
      <c r="B197" s="14">
        <f t="shared" si="64"/>
        <v>45109</v>
      </c>
      <c r="C197" s="14">
        <f t="shared" si="65"/>
        <v>45108</v>
      </c>
      <c r="D197" s="13">
        <f t="shared" si="66"/>
        <v>7</v>
      </c>
      <c r="E197" s="12">
        <f t="shared" si="67"/>
        <v>2023</v>
      </c>
      <c r="F197" s="9">
        <v>312.84473616972696</v>
      </c>
    </row>
    <row r="198" spans="1:14">
      <c r="A198" s="15">
        <v>45139</v>
      </c>
      <c r="B198" s="14">
        <f t="shared" si="64"/>
        <v>45140</v>
      </c>
      <c r="C198" s="14">
        <f t="shared" si="65"/>
        <v>45139</v>
      </c>
      <c r="D198" s="13">
        <f t="shared" si="66"/>
        <v>8</v>
      </c>
      <c r="E198" s="12">
        <f t="shared" si="67"/>
        <v>2023</v>
      </c>
      <c r="F198" s="9">
        <v>315.623918872079</v>
      </c>
    </row>
    <row r="199" spans="1:14">
      <c r="A199" s="15">
        <v>45170</v>
      </c>
      <c r="B199" s="14">
        <f t="shared" si="64"/>
        <v>45171</v>
      </c>
      <c r="C199" s="14">
        <f t="shared" si="65"/>
        <v>45170</v>
      </c>
      <c r="D199" s="13">
        <f t="shared" si="66"/>
        <v>9</v>
      </c>
      <c r="E199" s="12">
        <f t="shared" si="67"/>
        <v>2023</v>
      </c>
      <c r="F199" s="9">
        <v>317.14454997153899</v>
      </c>
    </row>
    <row r="200" spans="1:14">
      <c r="A200" s="15">
        <v>45200</v>
      </c>
      <c r="B200" s="14">
        <f t="shared" si="64"/>
        <v>45201</v>
      </c>
      <c r="C200" s="14">
        <f t="shared" si="65"/>
        <v>45200</v>
      </c>
      <c r="D200" s="13">
        <f t="shared" si="66"/>
        <v>10</v>
      </c>
      <c r="E200" s="12">
        <f t="shared" si="67"/>
        <v>2023</v>
      </c>
      <c r="F200" s="9">
        <v>318.23748631764801</v>
      </c>
    </row>
    <row r="201" spans="1:14">
      <c r="A201" s="15">
        <v>45231</v>
      </c>
      <c r="B201" s="14">
        <f t="shared" si="64"/>
        <v>45232</v>
      </c>
      <c r="C201" s="14">
        <f t="shared" si="65"/>
        <v>45231</v>
      </c>
      <c r="D201" s="13">
        <f t="shared" si="66"/>
        <v>11</v>
      </c>
      <c r="E201" s="12">
        <f t="shared" si="67"/>
        <v>2023</v>
      </c>
      <c r="F201" s="9">
        <v>317.13084792934001</v>
      </c>
    </row>
    <row r="202" spans="1:14">
      <c r="A202" s="15">
        <v>45261</v>
      </c>
      <c r="B202" s="14">
        <f t="shared" si="64"/>
        <v>45262</v>
      </c>
      <c r="C202" s="14">
        <f t="shared" si="65"/>
        <v>45261</v>
      </c>
      <c r="D202" s="13">
        <f t="shared" si="66"/>
        <v>12</v>
      </c>
      <c r="E202" s="12">
        <f t="shared" si="67"/>
        <v>2023</v>
      </c>
      <c r="F202" s="9">
        <v>317.50703079865298</v>
      </c>
    </row>
  </sheetData>
  <mergeCells count="8">
    <mergeCell ref="I8:X8"/>
    <mergeCell ref="I34:Y34"/>
    <mergeCell ref="B7:E7"/>
    <mergeCell ref="A5:E5"/>
    <mergeCell ref="H2:H3"/>
    <mergeCell ref="I2:J2"/>
    <mergeCell ref="K2:L2"/>
    <mergeCell ref="M2:N2"/>
  </mergeCells>
  <hyperlinks>
    <hyperlink ref="B7" r:id="rId1" display="https://us.spindices.com/indices/indicators/sp-corelogic-case-shiller-denver-home-price-nsa-index" xr:uid="{00000000-0004-0000-0400-000000000000}"/>
  </hyperlink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B484-E4A4-4A44-B248-4F71179FCDD9}">
  <sheetPr>
    <tabColor rgb="FF92D050"/>
  </sheetPr>
  <dimension ref="B2:S200"/>
  <sheetViews>
    <sheetView workbookViewId="0">
      <selection activeCell="B6" sqref="B6"/>
    </sheetView>
  </sheetViews>
  <sheetFormatPr defaultRowHeight="14.4"/>
  <cols>
    <col min="1" max="1" width="5" customWidth="1"/>
    <col min="2" max="2" width="25.44140625" customWidth="1"/>
    <col min="3" max="3" width="12.5546875" customWidth="1"/>
    <col min="4" max="4" width="7.44140625" bestFit="1" customWidth="1"/>
    <col min="5" max="5" width="11" bestFit="1" customWidth="1"/>
    <col min="6" max="6" width="12.44140625" bestFit="1" customWidth="1"/>
    <col min="11" max="11" width="10.44140625" customWidth="1"/>
    <col min="12" max="12" width="11.109375" customWidth="1"/>
    <col min="13" max="13" width="13.109375" customWidth="1"/>
    <col min="14" max="14" width="11.44140625" customWidth="1"/>
    <col min="15" max="15" width="13.109375" customWidth="1"/>
  </cols>
  <sheetData>
    <row r="2" spans="2:19">
      <c r="B2" t="s">
        <v>307</v>
      </c>
      <c r="G2" t="s">
        <v>308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</row>
    <row r="3" spans="2:19">
      <c r="G3" t="s">
        <v>309</v>
      </c>
      <c r="H3" s="37" t="s">
        <v>129</v>
      </c>
      <c r="I3" s="37" t="s">
        <v>129</v>
      </c>
      <c r="J3" s="37" t="s">
        <v>129</v>
      </c>
      <c r="K3" s="37" t="s">
        <v>310</v>
      </c>
      <c r="L3" s="37" t="s">
        <v>310</v>
      </c>
      <c r="M3" s="37" t="s">
        <v>310</v>
      </c>
      <c r="N3" s="37" t="s">
        <v>311</v>
      </c>
      <c r="O3" s="37" t="s">
        <v>311</v>
      </c>
      <c r="P3" s="37" t="s">
        <v>311</v>
      </c>
      <c r="Q3" s="37" t="s">
        <v>312</v>
      </c>
      <c r="R3" s="37" t="s">
        <v>312</v>
      </c>
      <c r="S3" s="37" t="s">
        <v>312</v>
      </c>
    </row>
    <row r="5" spans="2:19">
      <c r="B5" t="s">
        <v>313</v>
      </c>
      <c r="C5" s="26" t="s">
        <v>314</v>
      </c>
    </row>
    <row r="7" spans="2:19" ht="18">
      <c r="B7" s="286" t="s">
        <v>315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2:19" ht="28.8">
      <c r="K8" s="284" t="s">
        <v>316</v>
      </c>
      <c r="L8" s="284" t="s">
        <v>317</v>
      </c>
      <c r="M8" s="284" t="s">
        <v>318</v>
      </c>
    </row>
    <row r="9" spans="2:19">
      <c r="I9" s="28" t="s">
        <v>319</v>
      </c>
      <c r="J9" s="163">
        <f>'PCW-Template'!D26</f>
        <v>2024</v>
      </c>
      <c r="K9" s="283">
        <f>_xlfn.MINIFS(F21:F500,E21:E500,$J$9)</f>
        <v>138.48500000000001</v>
      </c>
      <c r="L9" s="283">
        <f>_xlfn.MAXIFS(F21:F500,E21:E500,$J$9)</f>
        <v>138.55500000000001</v>
      </c>
      <c r="M9" s="283">
        <f>AVERAGEIFS(F21:F500,E21:E500,J9)</f>
        <v>138.52000000000001</v>
      </c>
    </row>
    <row r="10" spans="2:19">
      <c r="B10" t="s">
        <v>320</v>
      </c>
      <c r="J10" s="293" t="s">
        <v>321</v>
      </c>
      <c r="K10" s="288">
        <f>(J16/K9)-1</f>
        <v>5.0546990648792089E-4</v>
      </c>
      <c r="L10" s="288">
        <f>(J16/L9)-1</f>
        <v>0</v>
      </c>
      <c r="M10" s="288">
        <f>(J16/M9)-1</f>
        <v>2.5267109442683733E-4</v>
      </c>
    </row>
    <row r="11" spans="2:19">
      <c r="B11" t="s">
        <v>322</v>
      </c>
      <c r="I11" s="28"/>
      <c r="J11">
        <v>2021</v>
      </c>
      <c r="K11" s="283">
        <f>_xlfn.MINIFS(F23:F502,E23:E502,$J$11)</f>
        <v>123.3</v>
      </c>
      <c r="L11" s="283">
        <f>_xlfn.MAXIFS(F23:F502,E23:E502,$J$11)</f>
        <v>124.794</v>
      </c>
      <c r="M11" s="283">
        <f>AVERAGEIFS(F23:F502,E23:E502,J11)</f>
        <v>124.05533333333334</v>
      </c>
    </row>
    <row r="12" spans="2:19">
      <c r="B12" t="s">
        <v>323</v>
      </c>
      <c r="J12" s="293" t="s">
        <v>321</v>
      </c>
      <c r="K12" s="288">
        <f>(J16/K11)-1</f>
        <v>0.12372262773722631</v>
      </c>
      <c r="L12" s="288">
        <f>(J16/L11)-1</f>
        <v>0.11026972450598604</v>
      </c>
      <c r="M12" s="288">
        <f>(J16/M11)-1</f>
        <v>0.11688063928462022</v>
      </c>
    </row>
    <row r="13" spans="2:19">
      <c r="B13" t="s">
        <v>324</v>
      </c>
      <c r="J13">
        <v>2022</v>
      </c>
      <c r="K13" s="283">
        <f>_xlfn.MINIFS(F25:F504,E25:E504,$J$13)</f>
        <v>128.96199999999999</v>
      </c>
      <c r="L13" s="283">
        <f>_xlfn.MAXIFS(F25:F504,E25:E504,$J$13)</f>
        <v>132.41300000000001</v>
      </c>
      <c r="M13" s="283">
        <f>AVERAGEIFS(F25:F504,E25:E504,J13)</f>
        <v>130.88249999999999</v>
      </c>
    </row>
    <row r="14" spans="2:19">
      <c r="B14" t="s">
        <v>325</v>
      </c>
      <c r="J14" s="293" t="s">
        <v>321</v>
      </c>
      <c r="K14" s="288">
        <f>(J16/K13)-1</f>
        <v>7.4386253314930206E-2</v>
      </c>
      <c r="L14" s="288">
        <f>(J16/L13)-1</f>
        <v>4.6385173661196433E-2</v>
      </c>
      <c r="M14" s="288">
        <f>(J16/M13)-1</f>
        <v>5.8621282447997247E-2</v>
      </c>
    </row>
    <row r="15" spans="2:19">
      <c r="B15" t="s">
        <v>326</v>
      </c>
    </row>
    <row r="16" spans="2:19">
      <c r="I16" s="28" t="s">
        <v>327</v>
      </c>
      <c r="J16" s="287" cm="1">
        <f t="array" ref="J16">LOOKUP(2,1/(F21:F500&lt;&gt;""),F21:F500)</f>
        <v>138.55500000000001</v>
      </c>
    </row>
    <row r="17" spans="2:14">
      <c r="B17" t="s">
        <v>328</v>
      </c>
      <c r="C17" t="s">
        <v>329</v>
      </c>
    </row>
    <row r="19" spans="2:14">
      <c r="B19" t="s">
        <v>330</v>
      </c>
    </row>
    <row r="20" spans="2:14" ht="28.8">
      <c r="B20" t="s">
        <v>331</v>
      </c>
      <c r="C20" s="37" t="s">
        <v>177</v>
      </c>
      <c r="D20" s="37" t="s">
        <v>332</v>
      </c>
      <c r="E20" s="284" t="s">
        <v>333</v>
      </c>
      <c r="F20" t="s">
        <v>328</v>
      </c>
      <c r="J20" s="37" t="s">
        <v>178</v>
      </c>
      <c r="K20" s="284" t="s">
        <v>316</v>
      </c>
      <c r="L20" s="284" t="s">
        <v>317</v>
      </c>
      <c r="M20" s="284" t="s">
        <v>318</v>
      </c>
      <c r="N20" s="284" t="s">
        <v>334</v>
      </c>
    </row>
    <row r="21" spans="2:14">
      <c r="B21" s="282">
        <v>39873</v>
      </c>
      <c r="C21" s="285">
        <f>MONTH(B21)</f>
        <v>3</v>
      </c>
      <c r="D21" s="285" t="str">
        <f>INDEX($H$3:$S$3,MATCH(C21,$H$2:$S$2,0))</f>
        <v>Q1</v>
      </c>
      <c r="E21">
        <f>YEAR(B21)</f>
        <v>2009</v>
      </c>
      <c r="F21" s="283">
        <v>100</v>
      </c>
      <c r="J21">
        <v>2009</v>
      </c>
      <c r="K21" s="283">
        <f>_xlfn.MINIFS($F$21:$F$500,$E$21:$E$500,$J21)</f>
        <v>100</v>
      </c>
      <c r="L21" s="283">
        <f>_xlfn.MAXIFS($F$21:$F$500,$E$21:$E$500,$J21)</f>
        <v>100.2</v>
      </c>
      <c r="M21" s="283">
        <f>AVERAGEIFS($F$21:$F$500,$E$21:$E$500,$J21)</f>
        <v>100.15</v>
      </c>
      <c r="N21" s="288">
        <f>K21/M21</f>
        <v>0.99850224663005482</v>
      </c>
    </row>
    <row r="22" spans="2:14">
      <c r="B22" s="282">
        <v>39904</v>
      </c>
      <c r="C22" s="285">
        <f t="shared" ref="C22:C85" si="0">MONTH(B22)</f>
        <v>4</v>
      </c>
      <c r="D22" s="285" t="str">
        <f t="shared" ref="D22:D85" si="1">INDEX($H$3:$S$3,MATCH(C22,$H$2:$S$2,0))</f>
        <v>Q2</v>
      </c>
      <c r="E22">
        <f t="shared" ref="E22:E85" si="2">YEAR(B22)</f>
        <v>2009</v>
      </c>
      <c r="F22" s="283">
        <v>100.1</v>
      </c>
      <c r="J22">
        <v>2010</v>
      </c>
      <c r="K22" s="283">
        <f t="shared" ref="K22:K36" si="3">_xlfn.MINIFS($F$21:$F$500,$E$21:$E$500,$J22)</f>
        <v>99.8</v>
      </c>
      <c r="L22" s="283">
        <f t="shared" ref="L22:L36" si="4">_xlfn.MAXIFS($F$21:$F$500,$E$21:$E$500,$J22)</f>
        <v>100.9</v>
      </c>
      <c r="M22" s="283">
        <f t="shared" ref="M22:M36" si="5">AVERAGEIFS($F$21:$F$500,$E$21:$E$500,$J22)</f>
        <v>100.49166666666666</v>
      </c>
      <c r="N22" s="288">
        <f t="shared" ref="N22:N29" si="6">K22/M22</f>
        <v>0.99311717389501619</v>
      </c>
    </row>
    <row r="23" spans="2:14">
      <c r="B23" s="282">
        <v>39934</v>
      </c>
      <c r="C23" s="285">
        <f t="shared" si="0"/>
        <v>5</v>
      </c>
      <c r="D23" s="285" t="str">
        <f t="shared" si="1"/>
        <v>Q2</v>
      </c>
      <c r="E23">
        <f t="shared" si="2"/>
        <v>2009</v>
      </c>
      <c r="F23" s="283">
        <v>100.1</v>
      </c>
      <c r="J23">
        <v>2011</v>
      </c>
      <c r="K23" s="283">
        <f t="shared" si="3"/>
        <v>100.8</v>
      </c>
      <c r="L23" s="283">
        <f t="shared" si="4"/>
        <v>102.4</v>
      </c>
      <c r="M23" s="283">
        <f t="shared" si="5"/>
        <v>101.65833333333335</v>
      </c>
      <c r="N23" s="288">
        <f t="shared" si="6"/>
        <v>0.99155668497417804</v>
      </c>
    </row>
    <row r="24" spans="2:14">
      <c r="B24" s="282">
        <v>39965</v>
      </c>
      <c r="C24" s="285">
        <f t="shared" si="0"/>
        <v>6</v>
      </c>
      <c r="D24" s="285" t="str">
        <f t="shared" si="1"/>
        <v>Q2</v>
      </c>
      <c r="E24">
        <f t="shared" si="2"/>
        <v>2009</v>
      </c>
      <c r="F24" s="283">
        <v>100.1</v>
      </c>
      <c r="J24">
        <v>2012</v>
      </c>
      <c r="K24" s="283">
        <f t="shared" si="3"/>
        <v>102.5</v>
      </c>
      <c r="L24" s="283">
        <f t="shared" si="4"/>
        <v>104.3</v>
      </c>
      <c r="M24" s="283">
        <f t="shared" si="5"/>
        <v>103.30833333333334</v>
      </c>
      <c r="N24" s="288">
        <f t="shared" si="6"/>
        <v>0.992175526337017</v>
      </c>
    </row>
    <row r="25" spans="2:14">
      <c r="B25" s="282">
        <v>39995</v>
      </c>
      <c r="C25" s="285">
        <f t="shared" si="0"/>
        <v>7</v>
      </c>
      <c r="D25" s="285" t="str">
        <f t="shared" si="1"/>
        <v>Q3</v>
      </c>
      <c r="E25">
        <f t="shared" si="2"/>
        <v>2009</v>
      </c>
      <c r="F25" s="283">
        <v>100.2</v>
      </c>
      <c r="J25">
        <v>2013</v>
      </c>
      <c r="K25" s="283">
        <f t="shared" si="3"/>
        <v>104</v>
      </c>
      <c r="L25" s="283">
        <f t="shared" si="4"/>
        <v>105.4</v>
      </c>
      <c r="M25" s="283">
        <f t="shared" si="5"/>
        <v>104.93333333333332</v>
      </c>
      <c r="N25" s="288">
        <f t="shared" si="6"/>
        <v>0.99110546378653119</v>
      </c>
    </row>
    <row r="26" spans="2:14">
      <c r="B26" s="282">
        <v>40026</v>
      </c>
      <c r="C26" s="285">
        <f t="shared" si="0"/>
        <v>8</v>
      </c>
      <c r="D26" s="285" t="str">
        <f t="shared" si="1"/>
        <v>Q3</v>
      </c>
      <c r="E26">
        <f t="shared" si="2"/>
        <v>2009</v>
      </c>
      <c r="F26" s="283">
        <v>100.2</v>
      </c>
      <c r="J26">
        <v>2014</v>
      </c>
      <c r="K26" s="283">
        <f t="shared" si="3"/>
        <v>105.7</v>
      </c>
      <c r="L26" s="283">
        <f t="shared" si="4"/>
        <v>107.7</v>
      </c>
      <c r="M26" s="283">
        <f t="shared" si="5"/>
        <v>106.58333333333333</v>
      </c>
      <c r="N26" s="288">
        <f t="shared" si="6"/>
        <v>0.99171227521501182</v>
      </c>
    </row>
    <row r="27" spans="2:14">
      <c r="B27" s="282">
        <v>40057</v>
      </c>
      <c r="C27" s="285">
        <f t="shared" si="0"/>
        <v>9</v>
      </c>
      <c r="D27" s="285" t="str">
        <f t="shared" si="1"/>
        <v>Q3</v>
      </c>
      <c r="E27">
        <f t="shared" si="2"/>
        <v>2009</v>
      </c>
      <c r="F27" s="283">
        <v>100.2</v>
      </c>
      <c r="J27">
        <v>2015</v>
      </c>
      <c r="K27" s="283">
        <f t="shared" si="3"/>
        <v>107.8</v>
      </c>
      <c r="L27" s="283">
        <f t="shared" si="4"/>
        <v>110.2</v>
      </c>
      <c r="M27" s="283">
        <f t="shared" si="5"/>
        <v>109.35833333333333</v>
      </c>
      <c r="N27" s="288">
        <f t="shared" si="6"/>
        <v>0.98575020955574177</v>
      </c>
    </row>
    <row r="28" spans="2:14">
      <c r="B28" s="282">
        <v>40087</v>
      </c>
      <c r="C28" s="285">
        <f t="shared" si="0"/>
        <v>10</v>
      </c>
      <c r="D28" s="285" t="str">
        <f t="shared" si="1"/>
        <v>Q4</v>
      </c>
      <c r="E28">
        <f t="shared" si="2"/>
        <v>2009</v>
      </c>
      <c r="F28" s="283">
        <v>100.2</v>
      </c>
      <c r="J28">
        <v>2016</v>
      </c>
      <c r="K28" s="283">
        <f t="shared" si="3"/>
        <v>110.6</v>
      </c>
      <c r="L28" s="283">
        <f t="shared" si="4"/>
        <v>112.4</v>
      </c>
      <c r="M28" s="283">
        <f t="shared" si="5"/>
        <v>111.46666666666665</v>
      </c>
      <c r="N28" s="288">
        <f t="shared" si="6"/>
        <v>0.99222488038277523</v>
      </c>
    </row>
    <row r="29" spans="2:14">
      <c r="B29" s="282">
        <v>40118</v>
      </c>
      <c r="C29" s="285">
        <f t="shared" si="0"/>
        <v>11</v>
      </c>
      <c r="D29" s="285" t="str">
        <f t="shared" si="1"/>
        <v>Q4</v>
      </c>
      <c r="E29">
        <f t="shared" si="2"/>
        <v>2009</v>
      </c>
      <c r="F29" s="283">
        <v>100.2</v>
      </c>
      <c r="J29">
        <v>2017</v>
      </c>
      <c r="K29" s="283">
        <f t="shared" si="3"/>
        <v>112.9</v>
      </c>
      <c r="L29" s="283">
        <f t="shared" si="4"/>
        <v>115.5</v>
      </c>
      <c r="M29" s="283">
        <f t="shared" si="5"/>
        <v>114.00833333333333</v>
      </c>
      <c r="N29" s="288">
        <f t="shared" si="6"/>
        <v>0.99027848841458965</v>
      </c>
    </row>
    <row r="30" spans="2:14">
      <c r="B30" s="282">
        <v>40148</v>
      </c>
      <c r="C30" s="285">
        <f t="shared" si="0"/>
        <v>12</v>
      </c>
      <c r="D30" s="285" t="str">
        <f t="shared" si="1"/>
        <v>Q4</v>
      </c>
      <c r="E30">
        <f t="shared" si="2"/>
        <v>2009</v>
      </c>
      <c r="F30" s="283">
        <v>100.2</v>
      </c>
      <c r="J30">
        <v>2018</v>
      </c>
      <c r="K30" s="283">
        <f t="shared" si="3"/>
        <v>115.7</v>
      </c>
      <c r="L30" s="283">
        <f t="shared" si="4"/>
        <v>117.9</v>
      </c>
      <c r="M30" s="283">
        <f t="shared" si="5"/>
        <v>116.98333333333335</v>
      </c>
      <c r="N30" s="288">
        <f t="shared" ref="N30:N34" si="7">K30/M30</f>
        <v>0.9890297763214132</v>
      </c>
    </row>
    <row r="31" spans="2:14">
      <c r="B31" s="282">
        <v>40179</v>
      </c>
      <c r="C31" s="285">
        <f t="shared" si="0"/>
        <v>1</v>
      </c>
      <c r="D31" s="285" t="str">
        <f t="shared" si="1"/>
        <v>Q1</v>
      </c>
      <c r="E31">
        <f t="shared" si="2"/>
        <v>2010</v>
      </c>
      <c r="F31" s="283">
        <v>100.2</v>
      </c>
      <c r="J31">
        <v>2019</v>
      </c>
      <c r="K31" s="283">
        <f t="shared" si="3"/>
        <v>118.9</v>
      </c>
      <c r="L31" s="283">
        <f t="shared" si="4"/>
        <v>120.6</v>
      </c>
      <c r="M31" s="283">
        <f t="shared" si="5"/>
        <v>120.02499999999999</v>
      </c>
      <c r="N31" s="288">
        <f t="shared" si="7"/>
        <v>0.9906269527181838</v>
      </c>
    </row>
    <row r="32" spans="2:14">
      <c r="B32" s="282">
        <v>40210</v>
      </c>
      <c r="C32" s="285">
        <f t="shared" si="0"/>
        <v>2</v>
      </c>
      <c r="D32" s="285" t="str">
        <f t="shared" si="1"/>
        <v>Q1</v>
      </c>
      <c r="E32">
        <f t="shared" si="2"/>
        <v>2010</v>
      </c>
      <c r="F32" s="283">
        <v>99.8</v>
      </c>
      <c r="J32">
        <v>2020</v>
      </c>
      <c r="K32" s="283">
        <f t="shared" si="3"/>
        <v>119.7</v>
      </c>
      <c r="L32" s="283">
        <f t="shared" si="4"/>
        <v>122.1</v>
      </c>
      <c r="M32" s="283">
        <f t="shared" si="5"/>
        <v>120.5333333333333</v>
      </c>
      <c r="N32" s="288">
        <f t="shared" si="7"/>
        <v>0.99308628318584102</v>
      </c>
    </row>
    <row r="33" spans="2:14">
      <c r="B33" s="282">
        <v>40238</v>
      </c>
      <c r="C33" s="285">
        <f t="shared" si="0"/>
        <v>3</v>
      </c>
      <c r="D33" s="285" t="str">
        <f t="shared" si="1"/>
        <v>Q1</v>
      </c>
      <c r="E33">
        <f t="shared" si="2"/>
        <v>2010</v>
      </c>
      <c r="F33" s="283">
        <v>100.1</v>
      </c>
      <c r="J33">
        <v>2021</v>
      </c>
      <c r="K33" s="283">
        <f t="shared" si="3"/>
        <v>123.3</v>
      </c>
      <c r="L33" s="283">
        <f t="shared" si="4"/>
        <v>124.794</v>
      </c>
      <c r="M33" s="283">
        <f t="shared" si="5"/>
        <v>124.05533333333334</v>
      </c>
      <c r="N33" s="288">
        <f t="shared" si="7"/>
        <v>0.99391131914253317</v>
      </c>
    </row>
    <row r="34" spans="2:14">
      <c r="B34" s="282">
        <v>40269</v>
      </c>
      <c r="C34" s="285">
        <f t="shared" si="0"/>
        <v>4</v>
      </c>
      <c r="D34" s="285" t="str">
        <f t="shared" si="1"/>
        <v>Q2</v>
      </c>
      <c r="E34">
        <f t="shared" si="2"/>
        <v>2010</v>
      </c>
      <c r="F34" s="283">
        <v>100.2</v>
      </c>
      <c r="J34">
        <v>2022</v>
      </c>
      <c r="K34" s="283">
        <f t="shared" si="3"/>
        <v>128.96199999999999</v>
      </c>
      <c r="L34" s="283">
        <f t="shared" si="4"/>
        <v>132.41300000000001</v>
      </c>
      <c r="M34" s="283">
        <f t="shared" si="5"/>
        <v>130.88249999999999</v>
      </c>
      <c r="N34" s="288">
        <f t="shared" si="7"/>
        <v>0.98532653334097375</v>
      </c>
    </row>
    <row r="35" spans="2:14">
      <c r="B35" s="282">
        <v>40299</v>
      </c>
      <c r="C35" s="285">
        <f t="shared" si="0"/>
        <v>5</v>
      </c>
      <c r="D35" s="285" t="str">
        <f t="shared" si="1"/>
        <v>Q2</v>
      </c>
      <c r="E35">
        <f t="shared" si="2"/>
        <v>2010</v>
      </c>
      <c r="F35" s="283">
        <v>100.3</v>
      </c>
      <c r="J35">
        <v>2023</v>
      </c>
      <c r="K35" s="283">
        <f t="shared" si="3"/>
        <v>134.328</v>
      </c>
      <c r="L35" s="283">
        <f t="shared" si="4"/>
        <v>137.00700000000001</v>
      </c>
      <c r="M35" s="283">
        <f t="shared" si="5"/>
        <v>135.8139166666667</v>
      </c>
      <c r="N35" s="288">
        <f t="shared" ref="N35:N36" si="8">K35/M35</f>
        <v>0.98905917226204709</v>
      </c>
    </row>
    <row r="36" spans="2:14">
      <c r="B36" s="282">
        <v>40330</v>
      </c>
      <c r="C36" s="285">
        <f t="shared" si="0"/>
        <v>6</v>
      </c>
      <c r="D36" s="285" t="str">
        <f t="shared" si="1"/>
        <v>Q2</v>
      </c>
      <c r="E36">
        <f t="shared" si="2"/>
        <v>2010</v>
      </c>
      <c r="F36" s="283">
        <v>100.6</v>
      </c>
      <c r="J36">
        <v>2024</v>
      </c>
      <c r="K36" s="283">
        <f t="shared" si="3"/>
        <v>138.48500000000001</v>
      </c>
      <c r="L36" s="283">
        <f t="shared" si="4"/>
        <v>138.55500000000001</v>
      </c>
      <c r="M36" s="283">
        <f t="shared" si="5"/>
        <v>138.52000000000001</v>
      </c>
      <c r="N36" s="288">
        <f t="shared" si="8"/>
        <v>0.99974732890557327</v>
      </c>
    </row>
    <row r="37" spans="2:14">
      <c r="B37" s="282">
        <v>40360</v>
      </c>
      <c r="C37" s="285">
        <f t="shared" si="0"/>
        <v>7</v>
      </c>
      <c r="D37" s="285" t="str">
        <f t="shared" si="1"/>
        <v>Q3</v>
      </c>
      <c r="E37">
        <f t="shared" si="2"/>
        <v>2010</v>
      </c>
      <c r="F37" s="283">
        <v>100.8</v>
      </c>
    </row>
    <row r="38" spans="2:14">
      <c r="B38" s="282">
        <v>40391</v>
      </c>
      <c r="C38" s="285">
        <f t="shared" si="0"/>
        <v>8</v>
      </c>
      <c r="D38" s="285" t="str">
        <f t="shared" si="1"/>
        <v>Q3</v>
      </c>
      <c r="E38">
        <f t="shared" si="2"/>
        <v>2010</v>
      </c>
      <c r="F38" s="283">
        <v>100.8</v>
      </c>
    </row>
    <row r="39" spans="2:14">
      <c r="B39" s="282">
        <v>40422</v>
      </c>
      <c r="C39" s="285">
        <f t="shared" si="0"/>
        <v>9</v>
      </c>
      <c r="D39" s="285" t="str">
        <f t="shared" si="1"/>
        <v>Q3</v>
      </c>
      <c r="E39">
        <f t="shared" si="2"/>
        <v>2010</v>
      </c>
      <c r="F39" s="283">
        <v>100.8</v>
      </c>
      <c r="K39" s="283"/>
    </row>
    <row r="40" spans="2:14">
      <c r="B40" s="282">
        <v>40452</v>
      </c>
      <c r="C40" s="285">
        <f t="shared" si="0"/>
        <v>10</v>
      </c>
      <c r="D40" s="285" t="str">
        <f t="shared" si="1"/>
        <v>Q4</v>
      </c>
      <c r="E40">
        <f t="shared" si="2"/>
        <v>2010</v>
      </c>
      <c r="F40" s="283">
        <v>100.8</v>
      </c>
      <c r="J40" s="28"/>
    </row>
    <row r="41" spans="2:14">
      <c r="B41" s="282">
        <v>40483</v>
      </c>
      <c r="C41" s="285">
        <f t="shared" si="0"/>
        <v>11</v>
      </c>
      <c r="D41" s="285" t="str">
        <f t="shared" si="1"/>
        <v>Q4</v>
      </c>
      <c r="E41">
        <f t="shared" si="2"/>
        <v>2010</v>
      </c>
      <c r="F41" s="283">
        <v>100.9</v>
      </c>
      <c r="J41" s="28"/>
      <c r="K41" s="288"/>
    </row>
    <row r="42" spans="2:14">
      <c r="B42" s="282">
        <v>40513</v>
      </c>
      <c r="C42" s="285">
        <f t="shared" si="0"/>
        <v>12</v>
      </c>
      <c r="D42" s="285" t="str">
        <f t="shared" si="1"/>
        <v>Q4</v>
      </c>
      <c r="E42">
        <f t="shared" si="2"/>
        <v>2010</v>
      </c>
      <c r="F42" s="283">
        <v>100.6</v>
      </c>
    </row>
    <row r="43" spans="2:14">
      <c r="B43" s="282">
        <v>40544</v>
      </c>
      <c r="C43" s="285">
        <f t="shared" si="0"/>
        <v>1</v>
      </c>
      <c r="D43" s="285" t="str">
        <f t="shared" si="1"/>
        <v>Q1</v>
      </c>
      <c r="E43">
        <f t="shared" si="2"/>
        <v>2011</v>
      </c>
      <c r="F43" s="283">
        <v>100.8</v>
      </c>
    </row>
    <row r="44" spans="2:14">
      <c r="B44" s="282">
        <v>40575</v>
      </c>
      <c r="C44" s="285">
        <f t="shared" si="0"/>
        <v>2</v>
      </c>
      <c r="D44" s="285" t="str">
        <f t="shared" si="1"/>
        <v>Q1</v>
      </c>
      <c r="E44">
        <f t="shared" si="2"/>
        <v>2011</v>
      </c>
      <c r="F44" s="283">
        <v>101</v>
      </c>
    </row>
    <row r="45" spans="2:14">
      <c r="B45" s="282">
        <v>40603</v>
      </c>
      <c r="C45" s="285">
        <f t="shared" si="0"/>
        <v>3</v>
      </c>
      <c r="D45" s="285" t="str">
        <f t="shared" si="1"/>
        <v>Q1</v>
      </c>
      <c r="E45">
        <f t="shared" si="2"/>
        <v>2011</v>
      </c>
      <c r="F45" s="283">
        <v>101.1</v>
      </c>
    </row>
    <row r="46" spans="2:14">
      <c r="B46" s="282">
        <v>40634</v>
      </c>
      <c r="C46" s="285">
        <f t="shared" si="0"/>
        <v>4</v>
      </c>
      <c r="D46" s="285" t="str">
        <f t="shared" si="1"/>
        <v>Q2</v>
      </c>
      <c r="E46">
        <f t="shared" si="2"/>
        <v>2011</v>
      </c>
      <c r="F46" s="283">
        <v>101.2</v>
      </c>
    </row>
    <row r="47" spans="2:14">
      <c r="B47" s="282">
        <v>40664</v>
      </c>
      <c r="C47" s="285">
        <f t="shared" si="0"/>
        <v>5</v>
      </c>
      <c r="D47" s="285" t="str">
        <f t="shared" si="1"/>
        <v>Q2</v>
      </c>
      <c r="E47">
        <f t="shared" si="2"/>
        <v>2011</v>
      </c>
      <c r="F47" s="283">
        <v>101.1</v>
      </c>
    </row>
    <row r="48" spans="2:14">
      <c r="B48" s="282">
        <v>40695</v>
      </c>
      <c r="C48" s="285">
        <f t="shared" si="0"/>
        <v>6</v>
      </c>
      <c r="D48" s="285" t="str">
        <f t="shared" si="1"/>
        <v>Q2</v>
      </c>
      <c r="E48">
        <f t="shared" si="2"/>
        <v>2011</v>
      </c>
      <c r="F48" s="283">
        <v>101.5</v>
      </c>
    </row>
    <row r="49" spans="2:6">
      <c r="B49" s="282">
        <v>40725</v>
      </c>
      <c r="C49" s="285">
        <f t="shared" si="0"/>
        <v>7</v>
      </c>
      <c r="D49" s="285" t="str">
        <f t="shared" si="1"/>
        <v>Q3</v>
      </c>
      <c r="E49">
        <f t="shared" si="2"/>
        <v>2011</v>
      </c>
      <c r="F49" s="283">
        <v>101.9</v>
      </c>
    </row>
    <row r="50" spans="2:6">
      <c r="B50" s="282">
        <v>40756</v>
      </c>
      <c r="C50" s="285">
        <f t="shared" si="0"/>
        <v>8</v>
      </c>
      <c r="D50" s="285" t="str">
        <f t="shared" si="1"/>
        <v>Q3</v>
      </c>
      <c r="E50">
        <f t="shared" si="2"/>
        <v>2011</v>
      </c>
      <c r="F50" s="283">
        <v>102</v>
      </c>
    </row>
    <row r="51" spans="2:6">
      <c r="B51" s="282">
        <v>40787</v>
      </c>
      <c r="C51" s="285">
        <f t="shared" si="0"/>
        <v>9</v>
      </c>
      <c r="D51" s="285" t="str">
        <f t="shared" si="1"/>
        <v>Q3</v>
      </c>
      <c r="E51">
        <f t="shared" si="2"/>
        <v>2011</v>
      </c>
      <c r="F51" s="283">
        <v>102.2</v>
      </c>
    </row>
    <row r="52" spans="2:6">
      <c r="B52" s="282">
        <v>40817</v>
      </c>
      <c r="C52" s="285">
        <f t="shared" si="0"/>
        <v>10</v>
      </c>
      <c r="D52" s="285" t="str">
        <f t="shared" si="1"/>
        <v>Q4</v>
      </c>
      <c r="E52">
        <f t="shared" si="2"/>
        <v>2011</v>
      </c>
      <c r="F52" s="283">
        <v>102.3</v>
      </c>
    </row>
    <row r="53" spans="2:6">
      <c r="B53" s="282">
        <v>40848</v>
      </c>
      <c r="C53" s="285">
        <f t="shared" si="0"/>
        <v>11</v>
      </c>
      <c r="D53" s="285" t="str">
        <f t="shared" si="1"/>
        <v>Q4</v>
      </c>
      <c r="E53">
        <f t="shared" si="2"/>
        <v>2011</v>
      </c>
      <c r="F53" s="283">
        <v>102.4</v>
      </c>
    </row>
    <row r="54" spans="2:6">
      <c r="B54" s="282">
        <v>40878</v>
      </c>
      <c r="C54" s="285">
        <f t="shared" si="0"/>
        <v>12</v>
      </c>
      <c r="D54" s="285" t="str">
        <f t="shared" si="1"/>
        <v>Q4</v>
      </c>
      <c r="E54">
        <f t="shared" si="2"/>
        <v>2011</v>
      </c>
      <c r="F54" s="283">
        <v>102.4</v>
      </c>
    </row>
    <row r="55" spans="2:6">
      <c r="B55" s="282">
        <v>40909</v>
      </c>
      <c r="C55" s="285">
        <f t="shared" si="0"/>
        <v>1</v>
      </c>
      <c r="D55" s="285" t="str">
        <f t="shared" si="1"/>
        <v>Q1</v>
      </c>
      <c r="E55">
        <f t="shared" si="2"/>
        <v>2012</v>
      </c>
      <c r="F55" s="283">
        <v>102.5</v>
      </c>
    </row>
    <row r="56" spans="2:6">
      <c r="B56" s="282">
        <v>40940</v>
      </c>
      <c r="C56" s="285">
        <f t="shared" si="0"/>
        <v>2</v>
      </c>
      <c r="D56" s="285" t="str">
        <f t="shared" si="1"/>
        <v>Q1</v>
      </c>
      <c r="E56">
        <f t="shared" si="2"/>
        <v>2012</v>
      </c>
      <c r="F56" s="283">
        <v>102.5</v>
      </c>
    </row>
    <row r="57" spans="2:6">
      <c r="B57" s="282">
        <v>40969</v>
      </c>
      <c r="C57" s="285">
        <f t="shared" si="0"/>
        <v>3</v>
      </c>
      <c r="D57" s="285" t="str">
        <f t="shared" si="1"/>
        <v>Q1</v>
      </c>
      <c r="E57">
        <f t="shared" si="2"/>
        <v>2012</v>
      </c>
      <c r="F57" s="283">
        <v>102.6</v>
      </c>
    </row>
    <row r="58" spans="2:6">
      <c r="B58" s="282">
        <v>41000</v>
      </c>
      <c r="C58" s="285">
        <f t="shared" si="0"/>
        <v>4</v>
      </c>
      <c r="D58" s="285" t="str">
        <f t="shared" si="1"/>
        <v>Q2</v>
      </c>
      <c r="E58">
        <f t="shared" si="2"/>
        <v>2012</v>
      </c>
      <c r="F58" s="283">
        <v>102.9</v>
      </c>
    </row>
    <row r="59" spans="2:6">
      <c r="B59" s="282">
        <v>41030</v>
      </c>
      <c r="C59" s="285">
        <f t="shared" si="0"/>
        <v>5</v>
      </c>
      <c r="D59" s="285" t="str">
        <f t="shared" si="1"/>
        <v>Q2</v>
      </c>
      <c r="E59">
        <f t="shared" si="2"/>
        <v>2012</v>
      </c>
      <c r="F59" s="283">
        <v>103.2</v>
      </c>
    </row>
    <row r="60" spans="2:6">
      <c r="B60" s="282">
        <v>41061</v>
      </c>
      <c r="C60" s="285">
        <f t="shared" si="0"/>
        <v>6</v>
      </c>
      <c r="D60" s="285" t="str">
        <f t="shared" si="1"/>
        <v>Q2</v>
      </c>
      <c r="E60">
        <f t="shared" si="2"/>
        <v>2012</v>
      </c>
      <c r="F60" s="283">
        <v>103</v>
      </c>
    </row>
    <row r="61" spans="2:6">
      <c r="B61" s="282">
        <v>41091</v>
      </c>
      <c r="C61" s="285">
        <f t="shared" si="0"/>
        <v>7</v>
      </c>
      <c r="D61" s="285" t="str">
        <f t="shared" si="1"/>
        <v>Q3</v>
      </c>
      <c r="E61">
        <f t="shared" si="2"/>
        <v>2012</v>
      </c>
      <c r="F61" s="283">
        <v>103.6</v>
      </c>
    </row>
    <row r="62" spans="2:6">
      <c r="B62" s="282">
        <v>41122</v>
      </c>
      <c r="C62" s="285">
        <f t="shared" si="0"/>
        <v>8</v>
      </c>
      <c r="D62" s="285" t="str">
        <f t="shared" si="1"/>
        <v>Q3</v>
      </c>
      <c r="E62">
        <f t="shared" si="2"/>
        <v>2012</v>
      </c>
      <c r="F62" s="283">
        <v>103.4</v>
      </c>
    </row>
    <row r="63" spans="2:6">
      <c r="B63" s="282">
        <v>41153</v>
      </c>
      <c r="C63" s="285">
        <f t="shared" si="0"/>
        <v>9</v>
      </c>
      <c r="D63" s="285" t="str">
        <f t="shared" si="1"/>
        <v>Q3</v>
      </c>
      <c r="E63">
        <f t="shared" si="2"/>
        <v>2012</v>
      </c>
      <c r="F63" s="283">
        <v>103.8</v>
      </c>
    </row>
    <row r="64" spans="2:6">
      <c r="B64" s="282">
        <v>41183</v>
      </c>
      <c r="C64" s="285">
        <f t="shared" si="0"/>
        <v>10</v>
      </c>
      <c r="D64" s="285" t="str">
        <f t="shared" si="1"/>
        <v>Q4</v>
      </c>
      <c r="E64">
        <f t="shared" si="2"/>
        <v>2012</v>
      </c>
      <c r="F64" s="283">
        <v>103.9</v>
      </c>
    </row>
    <row r="65" spans="2:6">
      <c r="B65" s="282">
        <v>41214</v>
      </c>
      <c r="C65" s="285">
        <f t="shared" si="0"/>
        <v>11</v>
      </c>
      <c r="D65" s="285" t="str">
        <f t="shared" si="1"/>
        <v>Q4</v>
      </c>
      <c r="E65">
        <f t="shared" si="2"/>
        <v>2012</v>
      </c>
      <c r="F65" s="283">
        <v>104</v>
      </c>
    </row>
    <row r="66" spans="2:6">
      <c r="B66" s="282">
        <v>41244</v>
      </c>
      <c r="C66" s="285">
        <f t="shared" si="0"/>
        <v>12</v>
      </c>
      <c r="D66" s="285" t="str">
        <f t="shared" si="1"/>
        <v>Q4</v>
      </c>
      <c r="E66">
        <f t="shared" si="2"/>
        <v>2012</v>
      </c>
      <c r="F66" s="283">
        <v>104.3</v>
      </c>
    </row>
    <row r="67" spans="2:6">
      <c r="B67" s="282">
        <v>41275</v>
      </c>
      <c r="C67" s="285">
        <f t="shared" si="0"/>
        <v>1</v>
      </c>
      <c r="D67" s="285" t="str">
        <f t="shared" si="1"/>
        <v>Q1</v>
      </c>
      <c r="E67">
        <f t="shared" si="2"/>
        <v>2013</v>
      </c>
      <c r="F67" s="283">
        <v>104</v>
      </c>
    </row>
    <row r="68" spans="2:6">
      <c r="B68" s="282">
        <v>41306</v>
      </c>
      <c r="C68" s="285">
        <f t="shared" si="0"/>
        <v>2</v>
      </c>
      <c r="D68" s="285" t="str">
        <f t="shared" si="1"/>
        <v>Q1</v>
      </c>
      <c r="E68">
        <f t="shared" si="2"/>
        <v>2013</v>
      </c>
      <c r="F68" s="283">
        <v>104.2</v>
      </c>
    </row>
    <row r="69" spans="2:6">
      <c r="B69" s="282">
        <v>41334</v>
      </c>
      <c r="C69" s="285">
        <f t="shared" si="0"/>
        <v>3</v>
      </c>
      <c r="D69" s="285" t="str">
        <f t="shared" si="1"/>
        <v>Q1</v>
      </c>
      <c r="E69">
        <f t="shared" si="2"/>
        <v>2013</v>
      </c>
      <c r="F69" s="283">
        <v>104.4</v>
      </c>
    </row>
    <row r="70" spans="2:6">
      <c r="B70" s="282">
        <v>41365</v>
      </c>
      <c r="C70" s="285">
        <f t="shared" si="0"/>
        <v>4</v>
      </c>
      <c r="D70" s="285" t="str">
        <f t="shared" si="1"/>
        <v>Q2</v>
      </c>
      <c r="E70">
        <f t="shared" si="2"/>
        <v>2013</v>
      </c>
      <c r="F70" s="283">
        <v>105.2</v>
      </c>
    </row>
    <row r="71" spans="2:6">
      <c r="B71" s="282">
        <v>41395</v>
      </c>
      <c r="C71" s="285">
        <f t="shared" si="0"/>
        <v>5</v>
      </c>
      <c r="D71" s="285" t="str">
        <f t="shared" si="1"/>
        <v>Q2</v>
      </c>
      <c r="E71">
        <f t="shared" si="2"/>
        <v>2013</v>
      </c>
      <c r="F71" s="283">
        <v>105</v>
      </c>
    </row>
    <row r="72" spans="2:6">
      <c r="B72" s="282">
        <v>41426</v>
      </c>
      <c r="C72" s="285">
        <f t="shared" si="0"/>
        <v>6</v>
      </c>
      <c r="D72" s="285" t="str">
        <f t="shared" si="1"/>
        <v>Q2</v>
      </c>
      <c r="E72">
        <f t="shared" si="2"/>
        <v>2013</v>
      </c>
      <c r="F72" s="283">
        <v>105.1</v>
      </c>
    </row>
    <row r="73" spans="2:6">
      <c r="B73" s="282">
        <v>41456</v>
      </c>
      <c r="C73" s="285">
        <f t="shared" si="0"/>
        <v>7</v>
      </c>
      <c r="D73" s="285" t="str">
        <f t="shared" si="1"/>
        <v>Q3</v>
      </c>
      <c r="E73">
        <f t="shared" si="2"/>
        <v>2013</v>
      </c>
      <c r="F73" s="283">
        <v>105.1</v>
      </c>
    </row>
    <row r="74" spans="2:6">
      <c r="B74" s="282">
        <v>41487</v>
      </c>
      <c r="C74" s="285">
        <f t="shared" si="0"/>
        <v>8</v>
      </c>
      <c r="D74" s="285" t="str">
        <f t="shared" si="1"/>
        <v>Q3</v>
      </c>
      <c r="E74">
        <f t="shared" si="2"/>
        <v>2013</v>
      </c>
      <c r="F74" s="283">
        <v>105.3</v>
      </c>
    </row>
    <row r="75" spans="2:6">
      <c r="B75" s="282">
        <v>41518</v>
      </c>
      <c r="C75" s="285">
        <f t="shared" si="0"/>
        <v>9</v>
      </c>
      <c r="D75" s="285" t="str">
        <f t="shared" si="1"/>
        <v>Q3</v>
      </c>
      <c r="E75">
        <f t="shared" si="2"/>
        <v>2013</v>
      </c>
      <c r="F75" s="283">
        <v>105.4</v>
      </c>
    </row>
    <row r="76" spans="2:6">
      <c r="B76" s="282">
        <v>41548</v>
      </c>
      <c r="C76" s="285">
        <f t="shared" si="0"/>
        <v>10</v>
      </c>
      <c r="D76" s="285" t="str">
        <f t="shared" si="1"/>
        <v>Q4</v>
      </c>
      <c r="E76">
        <f t="shared" si="2"/>
        <v>2013</v>
      </c>
      <c r="F76" s="283">
        <v>105</v>
      </c>
    </row>
    <row r="77" spans="2:6">
      <c r="B77" s="282">
        <v>41579</v>
      </c>
      <c r="C77" s="285">
        <f t="shared" si="0"/>
        <v>11</v>
      </c>
      <c r="D77" s="285" t="str">
        <f t="shared" si="1"/>
        <v>Q4</v>
      </c>
      <c r="E77">
        <f t="shared" si="2"/>
        <v>2013</v>
      </c>
      <c r="F77" s="283">
        <v>105.1</v>
      </c>
    </row>
    <row r="78" spans="2:6">
      <c r="B78" s="282">
        <v>41609</v>
      </c>
      <c r="C78" s="285">
        <f t="shared" si="0"/>
        <v>12</v>
      </c>
      <c r="D78" s="285" t="str">
        <f t="shared" si="1"/>
        <v>Q4</v>
      </c>
      <c r="E78">
        <f t="shared" si="2"/>
        <v>2013</v>
      </c>
      <c r="F78" s="283">
        <v>105.4</v>
      </c>
    </row>
    <row r="79" spans="2:6">
      <c r="B79" s="282">
        <v>41640</v>
      </c>
      <c r="C79" s="285">
        <f t="shared" si="0"/>
        <v>1</v>
      </c>
      <c r="D79" s="285" t="str">
        <f t="shared" si="1"/>
        <v>Q1</v>
      </c>
      <c r="E79">
        <f t="shared" si="2"/>
        <v>2014</v>
      </c>
      <c r="F79" s="283">
        <v>105.7</v>
      </c>
    </row>
    <row r="80" spans="2:6">
      <c r="B80" s="282">
        <v>41671</v>
      </c>
      <c r="C80" s="285">
        <f t="shared" si="0"/>
        <v>2</v>
      </c>
      <c r="D80" s="285" t="str">
        <f t="shared" si="1"/>
        <v>Q1</v>
      </c>
      <c r="E80">
        <f t="shared" si="2"/>
        <v>2014</v>
      </c>
      <c r="F80" s="283">
        <v>105.9</v>
      </c>
    </row>
    <row r="81" spans="2:6">
      <c r="B81" s="282">
        <v>41699</v>
      </c>
      <c r="C81" s="285">
        <f t="shared" si="0"/>
        <v>3</v>
      </c>
      <c r="D81" s="285" t="str">
        <f t="shared" si="1"/>
        <v>Q1</v>
      </c>
      <c r="E81">
        <f t="shared" si="2"/>
        <v>2014</v>
      </c>
      <c r="F81" s="283">
        <v>105.9</v>
      </c>
    </row>
    <row r="82" spans="2:6">
      <c r="B82" s="282">
        <v>41730</v>
      </c>
      <c r="C82" s="285">
        <f t="shared" si="0"/>
        <v>4</v>
      </c>
      <c r="D82" s="285" t="str">
        <f t="shared" si="1"/>
        <v>Q2</v>
      </c>
      <c r="E82">
        <f t="shared" si="2"/>
        <v>2014</v>
      </c>
      <c r="F82" s="283">
        <v>105.9</v>
      </c>
    </row>
    <row r="83" spans="2:6">
      <c r="B83" s="282">
        <v>41760</v>
      </c>
      <c r="C83" s="285">
        <f t="shared" si="0"/>
        <v>5</v>
      </c>
      <c r="D83" s="285" t="str">
        <f t="shared" si="1"/>
        <v>Q2</v>
      </c>
      <c r="E83">
        <f t="shared" si="2"/>
        <v>2014</v>
      </c>
      <c r="F83" s="283">
        <v>106.4</v>
      </c>
    </row>
    <row r="84" spans="2:6">
      <c r="B84" s="282">
        <v>41791</v>
      </c>
      <c r="C84" s="285">
        <f t="shared" si="0"/>
        <v>6</v>
      </c>
      <c r="D84" s="285" t="str">
        <f t="shared" si="1"/>
        <v>Q2</v>
      </c>
      <c r="E84">
        <f t="shared" si="2"/>
        <v>2014</v>
      </c>
      <c r="F84" s="283">
        <v>106.4</v>
      </c>
    </row>
    <row r="85" spans="2:6">
      <c r="B85" s="282">
        <v>41821</v>
      </c>
      <c r="C85" s="285">
        <f t="shared" si="0"/>
        <v>7</v>
      </c>
      <c r="D85" s="285" t="str">
        <f t="shared" si="1"/>
        <v>Q3</v>
      </c>
      <c r="E85">
        <f t="shared" si="2"/>
        <v>2014</v>
      </c>
      <c r="F85" s="283">
        <v>106.5</v>
      </c>
    </row>
    <row r="86" spans="2:6">
      <c r="B86" s="282">
        <v>41852</v>
      </c>
      <c r="C86" s="285">
        <f t="shared" ref="C86:C130" si="9">MONTH(B86)</f>
        <v>8</v>
      </c>
      <c r="D86" s="285" t="str">
        <f t="shared" ref="D86:D130" si="10">INDEX($H$3:$S$3,MATCH(C86,$H$2:$S$2,0))</f>
        <v>Q3</v>
      </c>
      <c r="E86">
        <f t="shared" ref="E86:E130" si="11">YEAR(B86)</f>
        <v>2014</v>
      </c>
      <c r="F86" s="283">
        <v>107.2</v>
      </c>
    </row>
    <row r="87" spans="2:6">
      <c r="B87" s="282">
        <v>41883</v>
      </c>
      <c r="C87" s="285">
        <f t="shared" si="9"/>
        <v>9</v>
      </c>
      <c r="D87" s="285" t="str">
        <f t="shared" si="10"/>
        <v>Q3</v>
      </c>
      <c r="E87">
        <f t="shared" si="11"/>
        <v>2014</v>
      </c>
      <c r="F87" s="283">
        <v>106.9</v>
      </c>
    </row>
    <row r="88" spans="2:6">
      <c r="B88" s="282">
        <v>41913</v>
      </c>
      <c r="C88" s="285">
        <f t="shared" si="9"/>
        <v>10</v>
      </c>
      <c r="D88" s="285" t="str">
        <f t="shared" si="10"/>
        <v>Q4</v>
      </c>
      <c r="E88">
        <f t="shared" si="11"/>
        <v>2014</v>
      </c>
      <c r="F88" s="283">
        <v>107.7</v>
      </c>
    </row>
    <row r="89" spans="2:6">
      <c r="B89" s="282">
        <v>41944</v>
      </c>
      <c r="C89" s="285">
        <f t="shared" si="9"/>
        <v>11</v>
      </c>
      <c r="D89" s="285" t="str">
        <f t="shared" si="10"/>
        <v>Q4</v>
      </c>
      <c r="E89">
        <f t="shared" si="11"/>
        <v>2014</v>
      </c>
      <c r="F89" s="283">
        <v>107.1</v>
      </c>
    </row>
    <row r="90" spans="2:6">
      <c r="B90" s="282">
        <v>41974</v>
      </c>
      <c r="C90" s="285">
        <f t="shared" si="9"/>
        <v>12</v>
      </c>
      <c r="D90" s="285" t="str">
        <f t="shared" si="10"/>
        <v>Q4</v>
      </c>
      <c r="E90">
        <f t="shared" si="11"/>
        <v>2014</v>
      </c>
      <c r="F90" s="283">
        <v>107.4</v>
      </c>
    </row>
    <row r="91" spans="2:6">
      <c r="B91" s="282">
        <v>42005</v>
      </c>
      <c r="C91" s="285">
        <f t="shared" si="9"/>
        <v>1</v>
      </c>
      <c r="D91" s="285" t="str">
        <f t="shared" si="10"/>
        <v>Q1</v>
      </c>
      <c r="E91">
        <f t="shared" si="11"/>
        <v>2015</v>
      </c>
      <c r="F91" s="283">
        <v>107.8</v>
      </c>
    </row>
    <row r="92" spans="2:6">
      <c r="B92" s="282">
        <v>42036</v>
      </c>
      <c r="C92" s="285">
        <f t="shared" si="9"/>
        <v>2</v>
      </c>
      <c r="D92" s="285" t="str">
        <f t="shared" si="10"/>
        <v>Q1</v>
      </c>
      <c r="E92">
        <f t="shared" si="11"/>
        <v>2015</v>
      </c>
      <c r="F92" s="283">
        <v>108.4</v>
      </c>
    </row>
    <row r="93" spans="2:6">
      <c r="B93" s="282">
        <v>42064</v>
      </c>
      <c r="C93" s="285">
        <f t="shared" si="9"/>
        <v>3</v>
      </c>
      <c r="D93" s="285" t="str">
        <f t="shared" si="10"/>
        <v>Q1</v>
      </c>
      <c r="E93">
        <f t="shared" si="11"/>
        <v>2015</v>
      </c>
      <c r="F93" s="283">
        <v>108.9</v>
      </c>
    </row>
    <row r="94" spans="2:6">
      <c r="B94" s="282">
        <v>42095</v>
      </c>
      <c r="C94" s="285">
        <f t="shared" si="9"/>
        <v>4</v>
      </c>
      <c r="D94" s="285" t="str">
        <f t="shared" si="10"/>
        <v>Q2</v>
      </c>
      <c r="E94">
        <f t="shared" si="11"/>
        <v>2015</v>
      </c>
      <c r="F94" s="283">
        <v>109.1</v>
      </c>
    </row>
    <row r="95" spans="2:6">
      <c r="B95" s="282">
        <v>42125</v>
      </c>
      <c r="C95" s="285">
        <f t="shared" si="9"/>
        <v>5</v>
      </c>
      <c r="D95" s="285" t="str">
        <f t="shared" si="10"/>
        <v>Q2</v>
      </c>
      <c r="E95">
        <f t="shared" si="11"/>
        <v>2015</v>
      </c>
      <c r="F95" s="283">
        <v>109.2</v>
      </c>
    </row>
    <row r="96" spans="2:6">
      <c r="B96" s="282">
        <v>42156</v>
      </c>
      <c r="C96" s="285">
        <f t="shared" si="9"/>
        <v>6</v>
      </c>
      <c r="D96" s="285" t="str">
        <f t="shared" si="10"/>
        <v>Q2</v>
      </c>
      <c r="E96">
        <f t="shared" si="11"/>
        <v>2015</v>
      </c>
      <c r="F96" s="283">
        <v>109.3</v>
      </c>
    </row>
    <row r="97" spans="2:6">
      <c r="B97" s="282">
        <v>42186</v>
      </c>
      <c r="C97" s="285">
        <f t="shared" si="9"/>
        <v>7</v>
      </c>
      <c r="D97" s="285" t="str">
        <f t="shared" si="10"/>
        <v>Q3</v>
      </c>
      <c r="E97">
        <f t="shared" si="11"/>
        <v>2015</v>
      </c>
      <c r="F97" s="283">
        <v>109.2</v>
      </c>
    </row>
    <row r="98" spans="2:6">
      <c r="B98" s="282">
        <v>42217</v>
      </c>
      <c r="C98" s="285">
        <f t="shared" si="9"/>
        <v>8</v>
      </c>
      <c r="D98" s="285" t="str">
        <f t="shared" si="10"/>
        <v>Q3</v>
      </c>
      <c r="E98">
        <f t="shared" si="11"/>
        <v>2015</v>
      </c>
      <c r="F98" s="283">
        <v>110.1</v>
      </c>
    </row>
    <row r="99" spans="2:6">
      <c r="B99" s="282">
        <v>42248</v>
      </c>
      <c r="C99" s="285">
        <f t="shared" si="9"/>
        <v>9</v>
      </c>
      <c r="D99" s="285" t="str">
        <f t="shared" si="10"/>
        <v>Q3</v>
      </c>
      <c r="E99">
        <f t="shared" si="11"/>
        <v>2015</v>
      </c>
      <c r="F99" s="283">
        <v>110</v>
      </c>
    </row>
    <row r="100" spans="2:6">
      <c r="B100" s="282">
        <v>42278</v>
      </c>
      <c r="C100" s="285">
        <f t="shared" si="9"/>
        <v>10</v>
      </c>
      <c r="D100" s="285" t="str">
        <f t="shared" si="10"/>
        <v>Q4</v>
      </c>
      <c r="E100">
        <f t="shared" si="11"/>
        <v>2015</v>
      </c>
      <c r="F100" s="283">
        <v>110</v>
      </c>
    </row>
    <row r="101" spans="2:6">
      <c r="B101" s="282">
        <v>42309</v>
      </c>
      <c r="C101" s="285">
        <f t="shared" si="9"/>
        <v>11</v>
      </c>
      <c r="D101" s="285" t="str">
        <f t="shared" si="10"/>
        <v>Q4</v>
      </c>
      <c r="E101">
        <f t="shared" si="11"/>
        <v>2015</v>
      </c>
      <c r="F101" s="283">
        <v>110.2</v>
      </c>
    </row>
    <row r="102" spans="2:6">
      <c r="B102" s="282">
        <v>42339</v>
      </c>
      <c r="C102" s="285">
        <f t="shared" si="9"/>
        <v>12</v>
      </c>
      <c r="D102" s="285" t="str">
        <f t="shared" si="10"/>
        <v>Q4</v>
      </c>
      <c r="E102">
        <f t="shared" si="11"/>
        <v>2015</v>
      </c>
      <c r="F102" s="283">
        <v>110.1</v>
      </c>
    </row>
    <row r="103" spans="2:6">
      <c r="B103" s="282">
        <v>42370</v>
      </c>
      <c r="C103" s="285">
        <f t="shared" si="9"/>
        <v>1</v>
      </c>
      <c r="D103" s="285" t="str">
        <f t="shared" si="10"/>
        <v>Q1</v>
      </c>
      <c r="E103">
        <f t="shared" si="11"/>
        <v>2016</v>
      </c>
      <c r="F103" s="283">
        <v>110.6</v>
      </c>
    </row>
    <row r="104" spans="2:6">
      <c r="B104" s="282">
        <v>42401</v>
      </c>
      <c r="C104" s="285">
        <f t="shared" si="9"/>
        <v>2</v>
      </c>
      <c r="D104" s="285" t="str">
        <f t="shared" si="10"/>
        <v>Q1</v>
      </c>
      <c r="E104">
        <f t="shared" si="11"/>
        <v>2016</v>
      </c>
      <c r="F104" s="283">
        <v>110.9</v>
      </c>
    </row>
    <row r="105" spans="2:6">
      <c r="B105" s="282">
        <v>42430</v>
      </c>
      <c r="C105" s="285">
        <f t="shared" si="9"/>
        <v>3</v>
      </c>
      <c r="D105" s="285" t="str">
        <f t="shared" si="10"/>
        <v>Q1</v>
      </c>
      <c r="E105">
        <f t="shared" si="11"/>
        <v>2016</v>
      </c>
      <c r="F105" s="283">
        <v>110.8</v>
      </c>
    </row>
    <row r="106" spans="2:6">
      <c r="B106" s="282">
        <v>42461</v>
      </c>
      <c r="C106" s="285">
        <f t="shared" si="9"/>
        <v>4</v>
      </c>
      <c r="D106" s="285" t="str">
        <f t="shared" si="10"/>
        <v>Q2</v>
      </c>
      <c r="E106">
        <f t="shared" si="11"/>
        <v>2016</v>
      </c>
      <c r="F106">
        <v>111.1</v>
      </c>
    </row>
    <row r="107" spans="2:6">
      <c r="B107" s="282">
        <v>42491</v>
      </c>
      <c r="C107" s="285">
        <f t="shared" si="9"/>
        <v>5</v>
      </c>
      <c r="D107" s="285" t="str">
        <f t="shared" si="10"/>
        <v>Q2</v>
      </c>
      <c r="E107">
        <f t="shared" si="11"/>
        <v>2016</v>
      </c>
      <c r="F107">
        <v>111.1</v>
      </c>
    </row>
    <row r="108" spans="2:6">
      <c r="B108" s="282">
        <v>42522</v>
      </c>
      <c r="C108" s="285">
        <f t="shared" si="9"/>
        <v>6</v>
      </c>
      <c r="D108" s="285" t="str">
        <f t="shared" si="10"/>
        <v>Q2</v>
      </c>
      <c r="E108">
        <f t="shared" si="11"/>
        <v>2016</v>
      </c>
      <c r="F108">
        <v>111</v>
      </c>
    </row>
    <row r="109" spans="2:6">
      <c r="B109" s="282">
        <v>42552</v>
      </c>
      <c r="C109" s="285">
        <f t="shared" si="9"/>
        <v>7</v>
      </c>
      <c r="D109" s="285" t="str">
        <f t="shared" si="10"/>
        <v>Q3</v>
      </c>
      <c r="E109">
        <f t="shared" si="11"/>
        <v>2016</v>
      </c>
      <c r="F109">
        <v>111.6</v>
      </c>
    </row>
    <row r="110" spans="2:6">
      <c r="B110" s="282">
        <v>42583</v>
      </c>
      <c r="C110" s="285">
        <f t="shared" si="9"/>
        <v>8</v>
      </c>
      <c r="D110" s="285" t="str">
        <f t="shared" si="10"/>
        <v>Q3</v>
      </c>
      <c r="E110">
        <f t="shared" si="11"/>
        <v>2016</v>
      </c>
      <c r="F110">
        <v>111.9</v>
      </c>
    </row>
    <row r="111" spans="2:6">
      <c r="B111" s="282">
        <v>42614</v>
      </c>
      <c r="C111" s="285">
        <f t="shared" si="9"/>
        <v>9</v>
      </c>
      <c r="D111" s="285" t="str">
        <f t="shared" si="10"/>
        <v>Q3</v>
      </c>
      <c r="E111">
        <f t="shared" si="11"/>
        <v>2016</v>
      </c>
      <c r="F111">
        <v>112.4</v>
      </c>
    </row>
    <row r="112" spans="2:6">
      <c r="B112" s="282">
        <v>42644</v>
      </c>
      <c r="C112" s="285">
        <f t="shared" si="9"/>
        <v>10</v>
      </c>
      <c r="D112" s="285" t="str">
        <f t="shared" si="10"/>
        <v>Q4</v>
      </c>
      <c r="E112">
        <f t="shared" si="11"/>
        <v>2016</v>
      </c>
      <c r="F112">
        <v>111.7</v>
      </c>
    </row>
    <row r="113" spans="2:6">
      <c r="B113" s="282">
        <v>42675</v>
      </c>
      <c r="C113" s="285">
        <f t="shared" si="9"/>
        <v>11</v>
      </c>
      <c r="D113" s="285" t="str">
        <f t="shared" si="10"/>
        <v>Q4</v>
      </c>
      <c r="E113">
        <f t="shared" si="11"/>
        <v>2016</v>
      </c>
      <c r="F113">
        <v>112.2</v>
      </c>
    </row>
    <row r="114" spans="2:6">
      <c r="B114" s="282">
        <v>42705</v>
      </c>
      <c r="C114" s="285">
        <f t="shared" si="9"/>
        <v>12</v>
      </c>
      <c r="D114" s="285" t="str">
        <f t="shared" si="10"/>
        <v>Q4</v>
      </c>
      <c r="E114">
        <f t="shared" si="11"/>
        <v>2016</v>
      </c>
      <c r="F114">
        <v>112.3</v>
      </c>
    </row>
    <row r="115" spans="2:6">
      <c r="B115" s="282">
        <v>42736</v>
      </c>
      <c r="C115" s="285">
        <f t="shared" si="9"/>
        <v>1</v>
      </c>
      <c r="D115" s="285" t="str">
        <f t="shared" si="10"/>
        <v>Q1</v>
      </c>
      <c r="E115">
        <f t="shared" si="11"/>
        <v>2017</v>
      </c>
      <c r="F115">
        <v>113.7</v>
      </c>
    </row>
    <row r="116" spans="2:6">
      <c r="B116" s="282">
        <v>42767</v>
      </c>
      <c r="C116" s="285">
        <f t="shared" si="9"/>
        <v>2</v>
      </c>
      <c r="D116" s="285" t="str">
        <f t="shared" si="10"/>
        <v>Q1</v>
      </c>
      <c r="E116">
        <f t="shared" si="11"/>
        <v>2017</v>
      </c>
      <c r="F116">
        <v>114.2</v>
      </c>
    </row>
    <row r="117" spans="2:6">
      <c r="B117" s="282">
        <v>42795</v>
      </c>
      <c r="C117" s="285">
        <f t="shared" si="9"/>
        <v>3</v>
      </c>
      <c r="D117" s="285" t="str">
        <f t="shared" si="10"/>
        <v>Q1</v>
      </c>
      <c r="E117">
        <f t="shared" si="11"/>
        <v>2017</v>
      </c>
      <c r="F117">
        <v>114.2</v>
      </c>
    </row>
    <row r="118" spans="2:6">
      <c r="B118" s="282">
        <v>42826</v>
      </c>
      <c r="C118" s="285">
        <f t="shared" si="9"/>
        <v>4</v>
      </c>
      <c r="D118" s="285" t="str">
        <f t="shared" si="10"/>
        <v>Q2</v>
      </c>
      <c r="E118">
        <f t="shared" si="11"/>
        <v>2017</v>
      </c>
      <c r="F118">
        <v>114.2</v>
      </c>
    </row>
    <row r="119" spans="2:6">
      <c r="B119" s="282">
        <v>42856</v>
      </c>
      <c r="C119" s="285">
        <f t="shared" si="9"/>
        <v>5</v>
      </c>
      <c r="D119" s="285" t="str">
        <f t="shared" si="10"/>
        <v>Q2</v>
      </c>
      <c r="E119">
        <f t="shared" si="11"/>
        <v>2017</v>
      </c>
      <c r="F119">
        <v>112.9</v>
      </c>
    </row>
    <row r="120" spans="2:6">
      <c r="B120" s="282">
        <v>42887</v>
      </c>
      <c r="C120" s="285">
        <f t="shared" si="9"/>
        <v>6</v>
      </c>
      <c r="D120" s="285" t="str">
        <f t="shared" si="10"/>
        <v>Q2</v>
      </c>
      <c r="E120">
        <f t="shared" si="11"/>
        <v>2017</v>
      </c>
      <c r="F120">
        <v>112.9</v>
      </c>
    </row>
    <row r="121" spans="2:6">
      <c r="B121" s="282">
        <v>42917</v>
      </c>
      <c r="C121" s="285">
        <f t="shared" si="9"/>
        <v>7</v>
      </c>
      <c r="D121" s="285" t="str">
        <f t="shared" si="10"/>
        <v>Q3</v>
      </c>
      <c r="E121">
        <f t="shared" si="11"/>
        <v>2017</v>
      </c>
      <c r="F121">
        <v>113.5</v>
      </c>
    </row>
    <row r="122" spans="2:6">
      <c r="B122" s="282">
        <v>42948</v>
      </c>
      <c r="C122" s="285">
        <f t="shared" si="9"/>
        <v>8</v>
      </c>
      <c r="D122" s="285" t="str">
        <f t="shared" si="10"/>
        <v>Q3</v>
      </c>
      <c r="E122">
        <f t="shared" si="11"/>
        <v>2017</v>
      </c>
      <c r="F122">
        <v>113.5</v>
      </c>
    </row>
    <row r="123" spans="2:6">
      <c r="B123" s="282">
        <v>42979</v>
      </c>
      <c r="C123" s="285">
        <f t="shared" si="9"/>
        <v>9</v>
      </c>
      <c r="D123" s="285" t="str">
        <f t="shared" si="10"/>
        <v>Q3</v>
      </c>
      <c r="E123">
        <f t="shared" si="11"/>
        <v>2017</v>
      </c>
      <c r="F123">
        <v>113.5</v>
      </c>
    </row>
    <row r="124" spans="2:6">
      <c r="B124" s="282">
        <v>43009</v>
      </c>
      <c r="C124" s="285">
        <f t="shared" si="9"/>
        <v>10</v>
      </c>
      <c r="D124" s="285" t="str">
        <f t="shared" si="10"/>
        <v>Q4</v>
      </c>
      <c r="E124">
        <f t="shared" si="11"/>
        <v>2017</v>
      </c>
      <c r="F124">
        <v>115</v>
      </c>
    </row>
    <row r="125" spans="2:6">
      <c r="B125" s="282">
        <v>43040</v>
      </c>
      <c r="C125" s="285">
        <f t="shared" si="9"/>
        <v>11</v>
      </c>
      <c r="D125" s="285" t="str">
        <f t="shared" si="10"/>
        <v>Q4</v>
      </c>
      <c r="E125">
        <f t="shared" si="11"/>
        <v>2017</v>
      </c>
      <c r="F125">
        <v>115</v>
      </c>
    </row>
    <row r="126" spans="2:6">
      <c r="B126" s="282">
        <v>43070</v>
      </c>
      <c r="C126" s="285">
        <f t="shared" si="9"/>
        <v>12</v>
      </c>
      <c r="D126" s="285" t="str">
        <f t="shared" si="10"/>
        <v>Q4</v>
      </c>
      <c r="E126">
        <f t="shared" si="11"/>
        <v>2017</v>
      </c>
      <c r="F126">
        <v>115.5</v>
      </c>
    </row>
    <row r="127" spans="2:6">
      <c r="B127" s="282">
        <v>43101</v>
      </c>
      <c r="C127" s="285">
        <f t="shared" si="9"/>
        <v>1</v>
      </c>
      <c r="D127" s="285" t="str">
        <f t="shared" si="10"/>
        <v>Q1</v>
      </c>
      <c r="E127">
        <f t="shared" si="11"/>
        <v>2018</v>
      </c>
      <c r="F127">
        <v>115.7</v>
      </c>
    </row>
    <row r="128" spans="2:6">
      <c r="B128" s="282">
        <v>43132</v>
      </c>
      <c r="C128" s="285">
        <f t="shared" si="9"/>
        <v>2</v>
      </c>
      <c r="D128" s="285" t="str">
        <f t="shared" si="10"/>
        <v>Q1</v>
      </c>
      <c r="E128">
        <f t="shared" si="11"/>
        <v>2018</v>
      </c>
      <c r="F128">
        <v>116.4</v>
      </c>
    </row>
    <row r="129" spans="2:6">
      <c r="B129" s="282">
        <v>43160</v>
      </c>
      <c r="C129" s="285">
        <f t="shared" si="9"/>
        <v>3</v>
      </c>
      <c r="D129" s="285" t="str">
        <f t="shared" si="10"/>
        <v>Q1</v>
      </c>
      <c r="E129">
        <f t="shared" si="11"/>
        <v>2018</v>
      </c>
      <c r="F129">
        <v>116.4</v>
      </c>
    </row>
    <row r="130" spans="2:6">
      <c r="B130" s="282">
        <v>43191</v>
      </c>
      <c r="C130" s="285">
        <f t="shared" si="9"/>
        <v>4</v>
      </c>
      <c r="D130" s="285" t="str">
        <f t="shared" si="10"/>
        <v>Q2</v>
      </c>
      <c r="E130">
        <f t="shared" si="11"/>
        <v>2018</v>
      </c>
      <c r="F130">
        <v>116.4</v>
      </c>
    </row>
    <row r="131" spans="2:6">
      <c r="B131" s="282">
        <v>43221</v>
      </c>
      <c r="C131" s="285">
        <f t="shared" ref="C131:C194" si="12">MONTH(B131)</f>
        <v>5</v>
      </c>
      <c r="D131" s="285" t="str">
        <f t="shared" ref="D131:D194" si="13">INDEX($H$3:$S$3,MATCH(C131,$H$2:$S$2,0))</f>
        <v>Q2</v>
      </c>
      <c r="E131">
        <f t="shared" ref="E131:E194" si="14">YEAR(B131)</f>
        <v>2018</v>
      </c>
      <c r="F131">
        <v>116.5</v>
      </c>
    </row>
    <row r="132" spans="2:6">
      <c r="B132" s="282">
        <v>43252</v>
      </c>
      <c r="C132" s="285">
        <f t="shared" si="12"/>
        <v>6</v>
      </c>
      <c r="D132" s="285" t="str">
        <f t="shared" si="13"/>
        <v>Q2</v>
      </c>
      <c r="E132">
        <f t="shared" si="14"/>
        <v>2018</v>
      </c>
      <c r="F132">
        <v>116.6</v>
      </c>
    </row>
    <row r="133" spans="2:6">
      <c r="B133" s="282">
        <v>43282</v>
      </c>
      <c r="C133" s="285">
        <f t="shared" si="12"/>
        <v>7</v>
      </c>
      <c r="D133" s="285" t="str">
        <f t="shared" si="13"/>
        <v>Q3</v>
      </c>
      <c r="E133">
        <f t="shared" si="14"/>
        <v>2018</v>
      </c>
      <c r="F133">
        <v>117.3</v>
      </c>
    </row>
    <row r="134" spans="2:6">
      <c r="B134" s="282">
        <v>43313</v>
      </c>
      <c r="C134" s="285">
        <f t="shared" si="12"/>
        <v>8</v>
      </c>
      <c r="D134" s="285" t="str">
        <f t="shared" si="13"/>
        <v>Q3</v>
      </c>
      <c r="E134">
        <f t="shared" si="14"/>
        <v>2018</v>
      </c>
      <c r="F134">
        <v>117.6</v>
      </c>
    </row>
    <row r="135" spans="2:6">
      <c r="B135" s="282">
        <v>43344</v>
      </c>
      <c r="C135" s="285">
        <f t="shared" si="12"/>
        <v>9</v>
      </c>
      <c r="D135" s="285" t="str">
        <f t="shared" si="13"/>
        <v>Q3</v>
      </c>
      <c r="E135">
        <f t="shared" si="14"/>
        <v>2018</v>
      </c>
      <c r="F135">
        <v>117.6</v>
      </c>
    </row>
    <row r="136" spans="2:6">
      <c r="B136" s="282">
        <v>43374</v>
      </c>
      <c r="C136" s="285">
        <f t="shared" si="12"/>
        <v>10</v>
      </c>
      <c r="D136" s="285" t="str">
        <f t="shared" si="13"/>
        <v>Q4</v>
      </c>
      <c r="E136">
        <f t="shared" si="14"/>
        <v>2018</v>
      </c>
      <c r="F136">
        <v>117.5</v>
      </c>
    </row>
    <row r="137" spans="2:6">
      <c r="B137" s="282">
        <v>43405</v>
      </c>
      <c r="C137" s="285">
        <f t="shared" si="12"/>
        <v>11</v>
      </c>
      <c r="D137" s="285" t="str">
        <f t="shared" si="13"/>
        <v>Q4</v>
      </c>
      <c r="E137">
        <f t="shared" si="14"/>
        <v>2018</v>
      </c>
      <c r="F137">
        <v>117.9</v>
      </c>
    </row>
    <row r="138" spans="2:6">
      <c r="B138" s="282">
        <v>43435</v>
      </c>
      <c r="C138" s="285">
        <f t="shared" si="12"/>
        <v>12</v>
      </c>
      <c r="D138" s="285" t="str">
        <f t="shared" si="13"/>
        <v>Q4</v>
      </c>
      <c r="E138">
        <f t="shared" si="14"/>
        <v>2018</v>
      </c>
      <c r="F138">
        <v>117.9</v>
      </c>
    </row>
    <row r="139" spans="2:6">
      <c r="B139" s="282">
        <v>43466</v>
      </c>
      <c r="C139" s="285">
        <f t="shared" si="12"/>
        <v>1</v>
      </c>
      <c r="D139" s="285" t="str">
        <f t="shared" si="13"/>
        <v>Q1</v>
      </c>
      <c r="E139">
        <f t="shared" si="14"/>
        <v>2019</v>
      </c>
      <c r="F139">
        <v>118.9</v>
      </c>
    </row>
    <row r="140" spans="2:6">
      <c r="B140" s="282">
        <v>43497</v>
      </c>
      <c r="C140" s="285">
        <f t="shared" si="12"/>
        <v>2</v>
      </c>
      <c r="D140" s="285" t="str">
        <f t="shared" si="13"/>
        <v>Q1</v>
      </c>
      <c r="E140">
        <f t="shared" si="14"/>
        <v>2019</v>
      </c>
      <c r="F140">
        <v>119.8</v>
      </c>
    </row>
    <row r="141" spans="2:6">
      <c r="B141" s="282">
        <v>43525</v>
      </c>
      <c r="C141" s="285">
        <f t="shared" si="12"/>
        <v>3</v>
      </c>
      <c r="D141" s="285" t="str">
        <f t="shared" si="13"/>
        <v>Q1</v>
      </c>
      <c r="E141">
        <f t="shared" si="14"/>
        <v>2019</v>
      </c>
      <c r="F141">
        <v>120.2</v>
      </c>
    </row>
    <row r="142" spans="2:6">
      <c r="B142" s="282">
        <v>43556</v>
      </c>
      <c r="C142" s="285">
        <f t="shared" si="12"/>
        <v>4</v>
      </c>
      <c r="D142" s="285" t="str">
        <f t="shared" si="13"/>
        <v>Q2</v>
      </c>
      <c r="E142">
        <f t="shared" si="14"/>
        <v>2019</v>
      </c>
      <c r="F142">
        <v>120.2</v>
      </c>
    </row>
    <row r="143" spans="2:6">
      <c r="B143" s="282">
        <v>43586</v>
      </c>
      <c r="C143" s="285">
        <f t="shared" si="12"/>
        <v>5</v>
      </c>
      <c r="D143" s="285" t="str">
        <f t="shared" si="13"/>
        <v>Q2</v>
      </c>
      <c r="E143">
        <f t="shared" si="14"/>
        <v>2019</v>
      </c>
      <c r="F143">
        <v>120.6</v>
      </c>
    </row>
    <row r="144" spans="2:6">
      <c r="B144" s="282">
        <v>43617</v>
      </c>
      <c r="C144" s="285">
        <f t="shared" si="12"/>
        <v>6</v>
      </c>
      <c r="D144" s="285" t="str">
        <f t="shared" si="13"/>
        <v>Q2</v>
      </c>
      <c r="E144">
        <f t="shared" si="14"/>
        <v>2019</v>
      </c>
      <c r="F144">
        <v>119.6</v>
      </c>
    </row>
    <row r="145" spans="2:6">
      <c r="B145" s="282">
        <v>43647</v>
      </c>
      <c r="C145" s="285">
        <f t="shared" si="12"/>
        <v>7</v>
      </c>
      <c r="D145" s="285" t="str">
        <f t="shared" si="13"/>
        <v>Q3</v>
      </c>
      <c r="E145">
        <f t="shared" si="14"/>
        <v>2019</v>
      </c>
      <c r="F145">
        <v>119.9</v>
      </c>
    </row>
    <row r="146" spans="2:6">
      <c r="B146" s="282">
        <v>43678</v>
      </c>
      <c r="C146" s="285">
        <f t="shared" si="12"/>
        <v>8</v>
      </c>
      <c r="D146" s="285" t="str">
        <f t="shared" si="13"/>
        <v>Q3</v>
      </c>
      <c r="E146">
        <f t="shared" si="14"/>
        <v>2019</v>
      </c>
      <c r="F146">
        <v>119.8</v>
      </c>
    </row>
    <row r="147" spans="2:6">
      <c r="B147" s="282">
        <v>43709</v>
      </c>
      <c r="C147" s="285">
        <f t="shared" si="12"/>
        <v>9</v>
      </c>
      <c r="D147" s="285" t="str">
        <f t="shared" si="13"/>
        <v>Q3</v>
      </c>
      <c r="E147">
        <f t="shared" si="14"/>
        <v>2019</v>
      </c>
      <c r="F147">
        <v>120.1</v>
      </c>
    </row>
    <row r="148" spans="2:6">
      <c r="B148" s="282">
        <v>43739</v>
      </c>
      <c r="C148" s="285">
        <f t="shared" si="12"/>
        <v>10</v>
      </c>
      <c r="D148" s="285" t="str">
        <f t="shared" si="13"/>
        <v>Q4</v>
      </c>
      <c r="E148">
        <f t="shared" si="14"/>
        <v>2019</v>
      </c>
      <c r="F148">
        <v>120.4</v>
      </c>
    </row>
    <row r="149" spans="2:6">
      <c r="B149" s="282">
        <v>43770</v>
      </c>
      <c r="C149" s="285">
        <f t="shared" si="12"/>
        <v>11</v>
      </c>
      <c r="D149" s="285" t="str">
        <f t="shared" si="13"/>
        <v>Q4</v>
      </c>
      <c r="E149">
        <f t="shared" si="14"/>
        <v>2019</v>
      </c>
      <c r="F149">
        <v>120.5</v>
      </c>
    </row>
    <row r="150" spans="2:6">
      <c r="B150" s="282">
        <v>43800</v>
      </c>
      <c r="C150" s="285">
        <f t="shared" si="12"/>
        <v>12</v>
      </c>
      <c r="D150" s="285" t="str">
        <f t="shared" si="13"/>
        <v>Q4</v>
      </c>
      <c r="E150">
        <f t="shared" si="14"/>
        <v>2019</v>
      </c>
      <c r="F150">
        <v>120.3</v>
      </c>
    </row>
    <row r="151" spans="2:6">
      <c r="B151" s="282">
        <v>43831</v>
      </c>
      <c r="C151" s="285">
        <f t="shared" si="12"/>
        <v>1</v>
      </c>
      <c r="D151" s="285" t="str">
        <f t="shared" si="13"/>
        <v>Q1</v>
      </c>
      <c r="E151">
        <f t="shared" si="14"/>
        <v>2020</v>
      </c>
      <c r="F151">
        <v>121.4</v>
      </c>
    </row>
    <row r="152" spans="2:6">
      <c r="B152" s="282">
        <v>43862</v>
      </c>
      <c r="C152" s="285">
        <f t="shared" si="12"/>
        <v>2</v>
      </c>
      <c r="D152" s="285" t="str">
        <f t="shared" si="13"/>
        <v>Q1</v>
      </c>
      <c r="E152">
        <f t="shared" si="14"/>
        <v>2020</v>
      </c>
      <c r="F152">
        <v>121.4</v>
      </c>
    </row>
    <row r="153" spans="2:6">
      <c r="B153" s="282">
        <v>43891</v>
      </c>
      <c r="C153" s="285">
        <f t="shared" si="12"/>
        <v>3</v>
      </c>
      <c r="D153" s="285" t="str">
        <f t="shared" si="13"/>
        <v>Q1</v>
      </c>
      <c r="E153">
        <f t="shared" si="14"/>
        <v>2020</v>
      </c>
      <c r="F153">
        <v>121.3</v>
      </c>
    </row>
    <row r="154" spans="2:6">
      <c r="B154" s="282">
        <v>43922</v>
      </c>
      <c r="C154" s="285">
        <f t="shared" si="12"/>
        <v>4</v>
      </c>
      <c r="D154" s="285" t="str">
        <f t="shared" si="13"/>
        <v>Q2</v>
      </c>
      <c r="E154">
        <f t="shared" si="14"/>
        <v>2020</v>
      </c>
      <c r="F154">
        <v>120.2</v>
      </c>
    </row>
    <row r="155" spans="2:6">
      <c r="B155" s="282">
        <v>43952</v>
      </c>
      <c r="C155" s="285">
        <f t="shared" si="12"/>
        <v>5</v>
      </c>
      <c r="D155" s="285" t="str">
        <f t="shared" si="13"/>
        <v>Q2</v>
      </c>
      <c r="E155">
        <f t="shared" si="14"/>
        <v>2020</v>
      </c>
      <c r="F155">
        <v>119.7</v>
      </c>
    </row>
    <row r="156" spans="2:6">
      <c r="B156" s="282">
        <v>43983</v>
      </c>
      <c r="C156" s="285">
        <f t="shared" si="12"/>
        <v>6</v>
      </c>
      <c r="D156" s="285" t="str">
        <f t="shared" si="13"/>
        <v>Q2</v>
      </c>
      <c r="E156">
        <f t="shared" si="14"/>
        <v>2020</v>
      </c>
      <c r="F156">
        <v>119.7</v>
      </c>
    </row>
    <row r="157" spans="2:6">
      <c r="B157" s="282">
        <v>44013</v>
      </c>
      <c r="C157" s="285">
        <f t="shared" si="12"/>
        <v>7</v>
      </c>
      <c r="D157" s="285" t="str">
        <f t="shared" si="13"/>
        <v>Q3</v>
      </c>
      <c r="E157">
        <f t="shared" si="14"/>
        <v>2020</v>
      </c>
      <c r="F157">
        <v>119.8</v>
      </c>
    </row>
    <row r="158" spans="2:6">
      <c r="B158" s="282">
        <v>44044</v>
      </c>
      <c r="C158" s="285">
        <f t="shared" si="12"/>
        <v>8</v>
      </c>
      <c r="D158" s="285" t="str">
        <f t="shared" si="13"/>
        <v>Q3</v>
      </c>
      <c r="E158">
        <f t="shared" si="14"/>
        <v>2020</v>
      </c>
      <c r="F158">
        <v>119.8</v>
      </c>
    </row>
    <row r="159" spans="2:6">
      <c r="B159" s="282">
        <v>44075</v>
      </c>
      <c r="C159" s="285">
        <f t="shared" si="12"/>
        <v>9</v>
      </c>
      <c r="D159" s="285" t="str">
        <f t="shared" si="13"/>
        <v>Q3</v>
      </c>
      <c r="E159">
        <f t="shared" si="14"/>
        <v>2020</v>
      </c>
      <c r="F159">
        <v>119.8</v>
      </c>
    </row>
    <row r="160" spans="2:6">
      <c r="B160" s="282">
        <v>44105</v>
      </c>
      <c r="C160" s="285">
        <f t="shared" si="12"/>
        <v>10</v>
      </c>
      <c r="D160" s="285" t="str">
        <f t="shared" si="13"/>
        <v>Q4</v>
      </c>
      <c r="E160">
        <f t="shared" si="14"/>
        <v>2020</v>
      </c>
      <c r="F160">
        <v>120.1</v>
      </c>
    </row>
    <row r="161" spans="2:6">
      <c r="B161" s="282">
        <v>44136</v>
      </c>
      <c r="C161" s="285">
        <f t="shared" si="12"/>
        <v>11</v>
      </c>
      <c r="D161" s="285" t="str">
        <f t="shared" si="13"/>
        <v>Q4</v>
      </c>
      <c r="E161">
        <f t="shared" si="14"/>
        <v>2020</v>
      </c>
      <c r="F161">
        <v>121.1</v>
      </c>
    </row>
    <row r="162" spans="2:6">
      <c r="B162" s="282">
        <v>44166</v>
      </c>
      <c r="C162" s="285">
        <f t="shared" si="12"/>
        <v>12</v>
      </c>
      <c r="D162" s="285" t="str">
        <f t="shared" si="13"/>
        <v>Q4</v>
      </c>
      <c r="E162">
        <f t="shared" si="14"/>
        <v>2020</v>
      </c>
      <c r="F162">
        <v>122.1</v>
      </c>
    </row>
    <row r="163" spans="2:6">
      <c r="B163" s="282">
        <v>44197</v>
      </c>
      <c r="C163" s="285">
        <f t="shared" si="12"/>
        <v>1</v>
      </c>
      <c r="D163" s="285" t="str">
        <f t="shared" si="13"/>
        <v>Q1</v>
      </c>
      <c r="E163">
        <f t="shared" si="14"/>
        <v>2021</v>
      </c>
      <c r="F163">
        <v>123.6</v>
      </c>
    </row>
    <row r="164" spans="2:6">
      <c r="B164" s="282">
        <v>44228</v>
      </c>
      <c r="C164" s="285">
        <f t="shared" si="12"/>
        <v>2</v>
      </c>
      <c r="D164" s="285" t="str">
        <f t="shared" si="13"/>
        <v>Q1</v>
      </c>
      <c r="E164">
        <f t="shared" si="14"/>
        <v>2021</v>
      </c>
      <c r="F164">
        <v>123.3</v>
      </c>
    </row>
    <row r="165" spans="2:6">
      <c r="B165" s="282">
        <v>44256</v>
      </c>
      <c r="C165" s="285">
        <f t="shared" si="12"/>
        <v>3</v>
      </c>
      <c r="D165" s="285" t="str">
        <f t="shared" si="13"/>
        <v>Q1</v>
      </c>
      <c r="E165">
        <f t="shared" si="14"/>
        <v>2021</v>
      </c>
      <c r="F165">
        <v>123.7</v>
      </c>
    </row>
    <row r="166" spans="2:6">
      <c r="B166" s="282">
        <v>44287</v>
      </c>
      <c r="C166" s="285">
        <f t="shared" si="12"/>
        <v>4</v>
      </c>
      <c r="D166" s="285" t="str">
        <f t="shared" si="13"/>
        <v>Q2</v>
      </c>
      <c r="E166">
        <f t="shared" si="14"/>
        <v>2021</v>
      </c>
      <c r="F166">
        <v>123.8</v>
      </c>
    </row>
    <row r="167" spans="2:6">
      <c r="B167" s="282">
        <v>44317</v>
      </c>
      <c r="C167" s="285">
        <f t="shared" si="12"/>
        <v>5</v>
      </c>
      <c r="D167" s="285" t="str">
        <f t="shared" si="13"/>
        <v>Q2</v>
      </c>
      <c r="E167">
        <f t="shared" si="14"/>
        <v>2021</v>
      </c>
      <c r="F167">
        <v>123.9</v>
      </c>
    </row>
    <row r="168" spans="2:6">
      <c r="B168" s="282">
        <v>44348</v>
      </c>
      <c r="C168" s="285">
        <f t="shared" si="12"/>
        <v>6</v>
      </c>
      <c r="D168" s="285" t="str">
        <f t="shared" si="13"/>
        <v>Q2</v>
      </c>
      <c r="E168">
        <f t="shared" si="14"/>
        <v>2021</v>
      </c>
      <c r="F168">
        <v>124</v>
      </c>
    </row>
    <row r="169" spans="2:6">
      <c r="B169" s="282">
        <v>44378</v>
      </c>
      <c r="C169" s="285">
        <f t="shared" si="12"/>
        <v>7</v>
      </c>
      <c r="D169" s="285" t="str">
        <f t="shared" si="13"/>
        <v>Q3</v>
      </c>
      <c r="E169">
        <f t="shared" si="14"/>
        <v>2021</v>
      </c>
      <c r="F169">
        <v>124.083</v>
      </c>
    </row>
    <row r="170" spans="2:6">
      <c r="B170" s="282">
        <v>44409</v>
      </c>
      <c r="C170" s="285">
        <f t="shared" si="12"/>
        <v>8</v>
      </c>
      <c r="D170" s="285" t="str">
        <f t="shared" si="13"/>
        <v>Q3</v>
      </c>
      <c r="E170">
        <f t="shared" si="14"/>
        <v>2021</v>
      </c>
      <c r="F170">
        <v>124.089</v>
      </c>
    </row>
    <row r="171" spans="2:6">
      <c r="B171" s="282">
        <v>44440</v>
      </c>
      <c r="C171" s="285">
        <f t="shared" si="12"/>
        <v>9</v>
      </c>
      <c r="D171" s="285" t="str">
        <f t="shared" si="13"/>
        <v>Q3</v>
      </c>
      <c r="E171">
        <f t="shared" si="14"/>
        <v>2021</v>
      </c>
      <c r="F171">
        <v>124.05800000000001</v>
      </c>
    </row>
    <row r="172" spans="2:6">
      <c r="B172" s="282">
        <v>44470</v>
      </c>
      <c r="C172" s="285">
        <f t="shared" si="12"/>
        <v>10</v>
      </c>
      <c r="D172" s="285" t="str">
        <f t="shared" si="13"/>
        <v>Q4</v>
      </c>
      <c r="E172">
        <f t="shared" si="14"/>
        <v>2021</v>
      </c>
      <c r="F172">
        <v>124.654</v>
      </c>
    </row>
    <row r="173" spans="2:6">
      <c r="B173" s="282">
        <v>44501</v>
      </c>
      <c r="C173" s="285">
        <f t="shared" si="12"/>
        <v>11</v>
      </c>
      <c r="D173" s="285" t="str">
        <f t="shared" si="13"/>
        <v>Q4</v>
      </c>
      <c r="E173">
        <f t="shared" si="14"/>
        <v>2021</v>
      </c>
      <c r="F173">
        <v>124.794</v>
      </c>
    </row>
    <row r="174" spans="2:6">
      <c r="B174" s="282">
        <v>44531</v>
      </c>
      <c r="C174" s="285">
        <f t="shared" si="12"/>
        <v>12</v>
      </c>
      <c r="D174" s="285" t="str">
        <f t="shared" si="13"/>
        <v>Q4</v>
      </c>
      <c r="E174">
        <f t="shared" si="14"/>
        <v>2021</v>
      </c>
      <c r="F174">
        <v>124.68600000000001</v>
      </c>
    </row>
    <row r="175" spans="2:6">
      <c r="B175" s="282">
        <v>44562</v>
      </c>
      <c r="C175" s="285">
        <f t="shared" si="12"/>
        <v>1</v>
      </c>
      <c r="D175" s="285" t="str">
        <f t="shared" si="13"/>
        <v>Q1</v>
      </c>
      <c r="E175">
        <f t="shared" si="14"/>
        <v>2022</v>
      </c>
      <c r="F175">
        <v>128.96199999999999</v>
      </c>
    </row>
    <row r="176" spans="2:6">
      <c r="B176" s="282">
        <v>44593</v>
      </c>
      <c r="C176" s="285">
        <f t="shared" si="12"/>
        <v>2</v>
      </c>
      <c r="D176" s="285" t="str">
        <f t="shared" si="13"/>
        <v>Q1</v>
      </c>
      <c r="E176">
        <f t="shared" si="14"/>
        <v>2022</v>
      </c>
      <c r="F176">
        <v>129.316</v>
      </c>
    </row>
    <row r="177" spans="2:6">
      <c r="B177" s="282">
        <v>44621</v>
      </c>
      <c r="C177" s="285">
        <f t="shared" si="12"/>
        <v>3</v>
      </c>
      <c r="D177" s="285" t="str">
        <f t="shared" si="13"/>
        <v>Q1</v>
      </c>
      <c r="E177">
        <f t="shared" si="14"/>
        <v>2022</v>
      </c>
      <c r="F177">
        <v>130.19999999999999</v>
      </c>
    </row>
    <row r="178" spans="2:6">
      <c r="B178" s="282">
        <v>44652</v>
      </c>
      <c r="C178" s="285">
        <f t="shared" si="12"/>
        <v>4</v>
      </c>
      <c r="D178" s="285" t="str">
        <f t="shared" si="13"/>
        <v>Q2</v>
      </c>
      <c r="E178">
        <f t="shared" si="14"/>
        <v>2022</v>
      </c>
      <c r="F178">
        <v>130.24199999999999</v>
      </c>
    </row>
    <row r="179" spans="2:6">
      <c r="B179" s="282">
        <v>44682</v>
      </c>
      <c r="C179" s="285">
        <f t="shared" si="12"/>
        <v>5</v>
      </c>
      <c r="D179" s="285" t="str">
        <f t="shared" si="13"/>
        <v>Q2</v>
      </c>
      <c r="E179">
        <f t="shared" si="14"/>
        <v>2022</v>
      </c>
      <c r="F179">
        <v>130.32499999999999</v>
      </c>
    </row>
    <row r="180" spans="2:6">
      <c r="B180" s="282">
        <v>44713</v>
      </c>
      <c r="C180" s="285">
        <f t="shared" si="12"/>
        <v>6</v>
      </c>
      <c r="D180" s="285" t="str">
        <f t="shared" si="13"/>
        <v>Q2</v>
      </c>
      <c r="E180">
        <f t="shared" si="14"/>
        <v>2022</v>
      </c>
      <c r="F180">
        <v>130.886</v>
      </c>
    </row>
    <row r="181" spans="2:6">
      <c r="B181" s="282">
        <v>44743</v>
      </c>
      <c r="C181" s="285">
        <f t="shared" si="12"/>
        <v>7</v>
      </c>
      <c r="D181" s="285" t="str">
        <f t="shared" si="13"/>
        <v>Q3</v>
      </c>
      <c r="E181">
        <f t="shared" si="14"/>
        <v>2022</v>
      </c>
      <c r="F181">
        <v>131.017</v>
      </c>
    </row>
    <row r="182" spans="2:6">
      <c r="B182" s="282">
        <v>44774</v>
      </c>
      <c r="C182" s="285">
        <f t="shared" si="12"/>
        <v>8</v>
      </c>
      <c r="D182" s="285" t="str">
        <f t="shared" si="13"/>
        <v>Q3</v>
      </c>
      <c r="E182">
        <f t="shared" si="14"/>
        <v>2022</v>
      </c>
      <c r="F182">
        <v>131.53100000000001</v>
      </c>
    </row>
    <row r="183" spans="2:6">
      <c r="B183" s="282">
        <v>44805</v>
      </c>
      <c r="C183" s="285">
        <f t="shared" si="12"/>
        <v>9</v>
      </c>
      <c r="D183" s="285" t="str">
        <f t="shared" si="13"/>
        <v>Q3</v>
      </c>
      <c r="E183">
        <f t="shared" si="14"/>
        <v>2022</v>
      </c>
      <c r="F183">
        <v>131.55600000000001</v>
      </c>
    </row>
    <row r="184" spans="2:6">
      <c r="B184" s="282">
        <v>44835</v>
      </c>
      <c r="C184" s="285">
        <f t="shared" si="12"/>
        <v>10</v>
      </c>
      <c r="D184" s="285" t="str">
        <f t="shared" si="13"/>
        <v>Q4</v>
      </c>
      <c r="E184">
        <f t="shared" si="14"/>
        <v>2022</v>
      </c>
      <c r="F184">
        <v>131.80199999999999</v>
      </c>
    </row>
    <row r="185" spans="2:6">
      <c r="B185" s="282">
        <v>44866</v>
      </c>
      <c r="C185" s="285">
        <f t="shared" si="12"/>
        <v>11</v>
      </c>
      <c r="D185" s="285" t="str">
        <f t="shared" si="13"/>
        <v>Q4</v>
      </c>
      <c r="E185">
        <f t="shared" si="14"/>
        <v>2022</v>
      </c>
      <c r="F185">
        <v>132.34</v>
      </c>
    </row>
    <row r="186" spans="2:6">
      <c r="B186" s="282">
        <v>44896</v>
      </c>
      <c r="C186" s="285">
        <f t="shared" si="12"/>
        <v>12</v>
      </c>
      <c r="D186" s="285" t="str">
        <f t="shared" si="13"/>
        <v>Q4</v>
      </c>
      <c r="E186">
        <f t="shared" si="14"/>
        <v>2022</v>
      </c>
      <c r="F186">
        <v>132.41300000000001</v>
      </c>
    </row>
    <row r="187" spans="2:6">
      <c r="B187" s="282">
        <v>44927</v>
      </c>
      <c r="C187" s="285">
        <f t="shared" si="12"/>
        <v>1</v>
      </c>
      <c r="D187" s="285" t="str">
        <f t="shared" si="13"/>
        <v>Q1</v>
      </c>
      <c r="E187">
        <f t="shared" si="14"/>
        <v>2023</v>
      </c>
      <c r="F187">
        <v>134.328</v>
      </c>
    </row>
    <row r="188" spans="2:6">
      <c r="B188" s="282">
        <v>44958</v>
      </c>
      <c r="C188" s="285">
        <f t="shared" si="12"/>
        <v>2</v>
      </c>
      <c r="D188" s="285" t="str">
        <f t="shared" si="13"/>
        <v>Q1</v>
      </c>
      <c r="E188">
        <f t="shared" si="14"/>
        <v>2023</v>
      </c>
      <c r="F188">
        <v>135.054</v>
      </c>
    </row>
    <row r="189" spans="2:6">
      <c r="B189" s="282">
        <v>44986</v>
      </c>
      <c r="C189" s="285">
        <f t="shared" si="12"/>
        <v>3</v>
      </c>
      <c r="D189" s="285" t="str">
        <f t="shared" si="13"/>
        <v>Q1</v>
      </c>
      <c r="E189">
        <f t="shared" si="14"/>
        <v>2023</v>
      </c>
      <c r="F189">
        <v>135.06899999999999</v>
      </c>
    </row>
    <row r="190" spans="2:6">
      <c r="B190" s="282">
        <v>45017</v>
      </c>
      <c r="C190" s="285">
        <f t="shared" si="12"/>
        <v>4</v>
      </c>
      <c r="D190" s="285" t="str">
        <f t="shared" si="13"/>
        <v>Q2</v>
      </c>
      <c r="E190">
        <f t="shared" si="14"/>
        <v>2023</v>
      </c>
      <c r="F190">
        <v>135.489</v>
      </c>
    </row>
    <row r="191" spans="2:6">
      <c r="B191" s="282">
        <v>45047</v>
      </c>
      <c r="C191" s="285">
        <f t="shared" si="12"/>
        <v>5</v>
      </c>
      <c r="D191" s="285" t="str">
        <f t="shared" si="13"/>
        <v>Q2</v>
      </c>
      <c r="E191">
        <f t="shared" si="14"/>
        <v>2023</v>
      </c>
      <c r="F191">
        <v>135.57599999999999</v>
      </c>
    </row>
    <row r="192" spans="2:6">
      <c r="B192" s="282">
        <v>45078</v>
      </c>
      <c r="C192" s="285">
        <f t="shared" si="12"/>
        <v>6</v>
      </c>
      <c r="D192" s="285" t="str">
        <f t="shared" si="13"/>
        <v>Q2</v>
      </c>
      <c r="E192">
        <f t="shared" si="14"/>
        <v>2023</v>
      </c>
      <c r="F192">
        <v>135.685</v>
      </c>
    </row>
    <row r="193" spans="2:6">
      <c r="B193" s="282">
        <v>45108</v>
      </c>
      <c r="C193" s="285">
        <f t="shared" si="12"/>
        <v>7</v>
      </c>
      <c r="D193" s="285" t="str">
        <f t="shared" si="13"/>
        <v>Q3</v>
      </c>
      <c r="E193">
        <f t="shared" si="14"/>
        <v>2023</v>
      </c>
      <c r="F193">
        <v>135.905</v>
      </c>
    </row>
    <row r="194" spans="2:6">
      <c r="B194" s="282">
        <v>45139</v>
      </c>
      <c r="C194" s="285">
        <f t="shared" si="12"/>
        <v>8</v>
      </c>
      <c r="D194" s="285" t="str">
        <f t="shared" si="13"/>
        <v>Q3</v>
      </c>
      <c r="E194">
        <f t="shared" si="14"/>
        <v>2023</v>
      </c>
      <c r="F194">
        <v>135.85599999999999</v>
      </c>
    </row>
    <row r="195" spans="2:6">
      <c r="B195" s="282">
        <v>45170</v>
      </c>
      <c r="C195" s="285">
        <f t="shared" ref="C195:C199" si="15">MONTH(B195)</f>
        <v>9</v>
      </c>
      <c r="D195" s="285" t="str">
        <f t="shared" ref="D195:D199" si="16">INDEX($H$3:$S$3,MATCH(C195,$H$2:$S$2,0))</f>
        <v>Q3</v>
      </c>
      <c r="E195">
        <f t="shared" ref="E195:E199" si="17">YEAR(B195)</f>
        <v>2023</v>
      </c>
      <c r="F195">
        <v>135.79400000000001</v>
      </c>
    </row>
    <row r="196" spans="2:6">
      <c r="B196" s="282">
        <v>45200</v>
      </c>
      <c r="C196" s="285">
        <f t="shared" si="15"/>
        <v>10</v>
      </c>
      <c r="D196" s="285" t="str">
        <f t="shared" si="16"/>
        <v>Q4</v>
      </c>
      <c r="E196">
        <f t="shared" si="17"/>
        <v>2023</v>
      </c>
      <c r="F196">
        <v>136.99799999999999</v>
      </c>
    </row>
    <row r="197" spans="2:6">
      <c r="B197" s="282">
        <v>45231</v>
      </c>
      <c r="C197" s="285">
        <f t="shared" si="15"/>
        <v>11</v>
      </c>
      <c r="D197" s="285" t="str">
        <f t="shared" si="16"/>
        <v>Q4</v>
      </c>
      <c r="E197">
        <f t="shared" si="17"/>
        <v>2023</v>
      </c>
      <c r="F197">
        <v>137.006</v>
      </c>
    </row>
    <row r="198" spans="2:6">
      <c r="B198" s="282">
        <v>45261</v>
      </c>
      <c r="C198" s="285">
        <f t="shared" si="15"/>
        <v>12</v>
      </c>
      <c r="D198" s="285" t="str">
        <f t="shared" si="16"/>
        <v>Q4</v>
      </c>
      <c r="E198">
        <f t="shared" si="17"/>
        <v>2023</v>
      </c>
      <c r="F198">
        <v>137.00700000000001</v>
      </c>
    </row>
    <row r="199" spans="2:6">
      <c r="B199" s="282">
        <v>45292</v>
      </c>
      <c r="C199" s="285">
        <f t="shared" si="15"/>
        <v>1</v>
      </c>
      <c r="D199" s="285" t="str">
        <f t="shared" si="16"/>
        <v>Q1</v>
      </c>
      <c r="E199">
        <f t="shared" si="17"/>
        <v>2024</v>
      </c>
      <c r="F199">
        <v>138.48500000000001</v>
      </c>
    </row>
    <row r="200" spans="2:6">
      <c r="B200" s="282">
        <v>45323</v>
      </c>
      <c r="C200" s="285">
        <f t="shared" ref="C200" si="18">MONTH(B200)</f>
        <v>2</v>
      </c>
      <c r="D200" s="285" t="str">
        <f t="shared" ref="D200" si="19">INDEX($H$3:$S$3,MATCH(C200,$H$2:$S$2,0))</f>
        <v>Q1</v>
      </c>
      <c r="E200">
        <f t="shared" ref="E200" si="20">YEAR(B200)</f>
        <v>2024</v>
      </c>
      <c r="F200">
        <v>138.55500000000001</v>
      </c>
    </row>
  </sheetData>
  <hyperlinks>
    <hyperlink ref="C5" r:id="rId1" xr:uid="{2EF695F3-701D-45F4-B5D9-EE934D8CAF4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7368-6BA6-42DE-BD7C-EB7EF924E0C4}">
  <sheetPr>
    <tabColor rgb="FF92D050"/>
  </sheetPr>
  <dimension ref="B2:S131"/>
  <sheetViews>
    <sheetView workbookViewId="0">
      <selection activeCell="B6" sqref="B6"/>
    </sheetView>
  </sheetViews>
  <sheetFormatPr defaultRowHeight="14.4"/>
  <cols>
    <col min="1" max="1" width="5" customWidth="1"/>
    <col min="2" max="2" width="25.44140625" customWidth="1"/>
    <col min="3" max="3" width="12.5546875" customWidth="1"/>
    <col min="4" max="4" width="7.44140625" bestFit="1" customWidth="1"/>
    <col min="5" max="5" width="11" bestFit="1" customWidth="1"/>
    <col min="6" max="6" width="12.44140625" bestFit="1" customWidth="1"/>
    <col min="11" max="11" width="10.44140625" customWidth="1"/>
    <col min="12" max="12" width="11.109375" customWidth="1"/>
    <col min="13" max="13" width="13.109375" customWidth="1"/>
    <col min="14" max="14" width="11.44140625" customWidth="1"/>
    <col min="15" max="15" width="13.109375" customWidth="1"/>
  </cols>
  <sheetData>
    <row r="2" spans="2:19">
      <c r="B2" t="s">
        <v>307</v>
      </c>
      <c r="G2" t="s">
        <v>308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</row>
    <row r="3" spans="2:19">
      <c r="G3" t="s">
        <v>309</v>
      </c>
      <c r="H3" s="37" t="s">
        <v>129</v>
      </c>
      <c r="I3" s="37" t="s">
        <v>129</v>
      </c>
      <c r="J3" s="37" t="s">
        <v>129</v>
      </c>
      <c r="K3" s="37" t="s">
        <v>310</v>
      </c>
      <c r="L3" s="37" t="s">
        <v>310</v>
      </c>
      <c r="M3" s="37" t="s">
        <v>310</v>
      </c>
      <c r="N3" s="37" t="s">
        <v>311</v>
      </c>
      <c r="O3" s="37" t="s">
        <v>311</v>
      </c>
      <c r="P3" s="37" t="s">
        <v>311</v>
      </c>
      <c r="Q3" s="37" t="s">
        <v>312</v>
      </c>
      <c r="R3" s="37" t="s">
        <v>312</v>
      </c>
      <c r="S3" s="37" t="s">
        <v>312</v>
      </c>
    </row>
    <row r="5" spans="2:19">
      <c r="B5" t="s">
        <v>313</v>
      </c>
      <c r="C5" s="26" t="s">
        <v>335</v>
      </c>
    </row>
    <row r="7" spans="2:19" ht="18">
      <c r="B7" s="286" t="s">
        <v>315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2:19" ht="28.8">
      <c r="K8" s="284" t="s">
        <v>316</v>
      </c>
      <c r="L8" s="284" t="s">
        <v>317</v>
      </c>
      <c r="M8" s="284" t="s">
        <v>318</v>
      </c>
    </row>
    <row r="9" spans="2:19">
      <c r="I9" s="28" t="s">
        <v>319</v>
      </c>
      <c r="J9" s="163">
        <f>'PCW-Template'!D26</f>
        <v>2024</v>
      </c>
      <c r="K9" s="283">
        <f>_xlfn.MINIFS(F21:F500,E21:E500,$J$9)</f>
        <v>148.46700000000001</v>
      </c>
      <c r="L9" s="283">
        <f>_xlfn.MAXIFS(F21:F500,E21:E500,$J$9)</f>
        <v>150.08199999999999</v>
      </c>
      <c r="M9" s="283">
        <f>AVERAGEIFS(F21:F500,E21:E500,J9)</f>
        <v>149.27449999999999</v>
      </c>
    </row>
    <row r="10" spans="2:19">
      <c r="B10" t="s">
        <v>320</v>
      </c>
      <c r="J10" s="293" t="s">
        <v>321</v>
      </c>
      <c r="K10" s="288">
        <f>(J16/K9)-1</f>
        <v>1.0877838172792531E-2</v>
      </c>
      <c r="L10" s="288">
        <f>(J16/L9)-1</f>
        <v>0</v>
      </c>
      <c r="M10" s="288">
        <f>(J16/M9)-1</f>
        <v>5.4094972684550768E-3</v>
      </c>
    </row>
    <row r="11" spans="2:19">
      <c r="B11" t="s">
        <v>322</v>
      </c>
      <c r="I11" s="28"/>
      <c r="J11">
        <v>2021</v>
      </c>
      <c r="K11" s="283">
        <f>_xlfn.MINIFS(F23:F502,E23:E502,$J$11)</f>
        <v>114.3</v>
      </c>
      <c r="L11" s="283">
        <f>_xlfn.MAXIFS(F23:F502,E23:E502,$J$11)</f>
        <v>133.44800000000001</v>
      </c>
      <c r="M11" s="283">
        <f>AVERAGEIFS(F23:F502,E23:E502,J11)</f>
        <v>126.22258333333333</v>
      </c>
    </row>
    <row r="12" spans="2:19">
      <c r="B12" t="s">
        <v>323</v>
      </c>
      <c r="J12" s="293" t="s">
        <v>321</v>
      </c>
      <c r="K12" s="288">
        <f>(J16/K11)-1</f>
        <v>0.31305336832895891</v>
      </c>
      <c r="L12" s="288">
        <f>(J16/L11)-1</f>
        <v>0.12464780288951482</v>
      </c>
      <c r="M12" s="288">
        <f>(J16/M11)-1</f>
        <v>0.18902652787304963</v>
      </c>
    </row>
    <row r="13" spans="2:19">
      <c r="B13" t="s">
        <v>324</v>
      </c>
      <c r="J13">
        <v>2022</v>
      </c>
      <c r="K13" s="283">
        <f>_xlfn.MINIFS(F25:F504,E25:E504,$J$13)</f>
        <v>137.76400000000001</v>
      </c>
      <c r="L13" s="283">
        <f>_xlfn.MAXIFS(F25:F504,E25:E504,$J$13)</f>
        <v>152.38900000000001</v>
      </c>
      <c r="M13" s="283">
        <f>AVERAGEIFS(F25:F504,E25:E504,J13)</f>
        <v>146.51316666666671</v>
      </c>
    </row>
    <row r="14" spans="2:19">
      <c r="B14" t="s">
        <v>325</v>
      </c>
      <c r="J14" s="293" t="s">
        <v>321</v>
      </c>
      <c r="K14" s="288">
        <f>(J16/K13)-1</f>
        <v>8.9413780087685968E-2</v>
      </c>
      <c r="L14" s="288">
        <f>(J16/L13)-1</f>
        <v>-1.5138887977478754E-2</v>
      </c>
      <c r="M14" s="288">
        <f>(J16/M13)-1</f>
        <v>2.4358447875560296E-2</v>
      </c>
    </row>
    <row r="15" spans="2:19">
      <c r="B15" t="s">
        <v>326</v>
      </c>
    </row>
    <row r="16" spans="2:19">
      <c r="I16" s="28" t="s">
        <v>327</v>
      </c>
      <c r="J16" s="287" cm="1">
        <f t="array" ref="J16">LOOKUP(2,1/(F21:F500&lt;&gt;""),F21:F500)</f>
        <v>150.08199999999999</v>
      </c>
    </row>
    <row r="17" spans="2:14">
      <c r="B17" t="s">
        <v>336</v>
      </c>
      <c r="C17" t="s">
        <v>337</v>
      </c>
    </row>
    <row r="19" spans="2:14">
      <c r="B19" t="s">
        <v>330</v>
      </c>
    </row>
    <row r="20" spans="2:14" ht="28.8">
      <c r="B20" t="s">
        <v>331</v>
      </c>
      <c r="C20" s="37" t="s">
        <v>177</v>
      </c>
      <c r="D20" s="37" t="s">
        <v>332</v>
      </c>
      <c r="E20" s="284" t="s">
        <v>333</v>
      </c>
      <c r="F20" t="s">
        <v>336</v>
      </c>
      <c r="J20" s="37" t="s">
        <v>178</v>
      </c>
      <c r="K20" s="284" t="s">
        <v>316</v>
      </c>
      <c r="L20" s="284" t="s">
        <v>317</v>
      </c>
      <c r="M20" s="284" t="s">
        <v>318</v>
      </c>
      <c r="N20" s="284" t="s">
        <v>334</v>
      </c>
    </row>
    <row r="21" spans="2:14">
      <c r="B21" s="282">
        <v>41974</v>
      </c>
      <c r="C21" s="285">
        <f>MONTH(B21)</f>
        <v>12</v>
      </c>
      <c r="D21" s="285" t="str">
        <f>INDEX($H$3:$S$3,MATCH(C21,$H$2:$S$2,0))</f>
        <v>Q4</v>
      </c>
      <c r="E21">
        <f>YEAR(B21)</f>
        <v>2014</v>
      </c>
      <c r="F21" s="283">
        <v>100</v>
      </c>
      <c r="J21">
        <v>2014</v>
      </c>
      <c r="K21" s="283">
        <f>_xlfn.MINIFS($F$21:$F$500,$E$21:$E$500,$J21)</f>
        <v>100</v>
      </c>
      <c r="L21" s="283">
        <f>_xlfn.MAXIFS($F$21:$F$500,$E$21:$E$500,$J21)</f>
        <v>100</v>
      </c>
      <c r="M21" s="283">
        <f>AVERAGEIFS($F$21:$F$500,$E$21:$E$500,$J21)</f>
        <v>100</v>
      </c>
      <c r="N21" s="288">
        <f>K21/M21</f>
        <v>1</v>
      </c>
    </row>
    <row r="22" spans="2:14">
      <c r="B22" s="282">
        <v>42005</v>
      </c>
      <c r="C22" s="285">
        <f t="shared" ref="C22:C85" si="0">MONTH(B22)</f>
        <v>1</v>
      </c>
      <c r="D22" s="285" t="str">
        <f t="shared" ref="D22:D85" si="1">INDEX($H$3:$S$3,MATCH(C22,$H$2:$S$2,0))</f>
        <v>Q1</v>
      </c>
      <c r="E22">
        <f t="shared" ref="E22:E85" si="2">YEAR(B22)</f>
        <v>2015</v>
      </c>
      <c r="F22" s="283">
        <v>98</v>
      </c>
      <c r="J22">
        <v>2015</v>
      </c>
      <c r="K22" s="283">
        <f t="shared" ref="K22:K29" si="3">_xlfn.MINIFS($F$21:$F$500,$E$21:$E$500,$J22)</f>
        <v>96</v>
      </c>
      <c r="L22" s="283">
        <f t="shared" ref="L22:L29" si="4">_xlfn.MAXIFS($F$21:$F$500,$E$21:$E$500,$J22)</f>
        <v>100.6</v>
      </c>
      <c r="M22" s="283">
        <f t="shared" ref="M22:M29" si="5">AVERAGEIFS($F$21:$F$500,$E$21:$E$500,$J22)</f>
        <v>98.766666666666666</v>
      </c>
      <c r="N22" s="288">
        <f t="shared" ref="N22:N29" si="6">K22/M22</f>
        <v>0.97198785015187306</v>
      </c>
    </row>
    <row r="23" spans="2:14">
      <c r="B23" s="282">
        <v>42036</v>
      </c>
      <c r="C23" s="285">
        <f t="shared" si="0"/>
        <v>2</v>
      </c>
      <c r="D23" s="285" t="str">
        <f t="shared" si="1"/>
        <v>Q1</v>
      </c>
      <c r="E23">
        <f t="shared" si="2"/>
        <v>2015</v>
      </c>
      <c r="F23" s="283">
        <v>98.2</v>
      </c>
      <c r="J23">
        <v>2016</v>
      </c>
      <c r="K23" s="283">
        <f t="shared" si="3"/>
        <v>95.1</v>
      </c>
      <c r="L23" s="283">
        <f t="shared" si="4"/>
        <v>98.5</v>
      </c>
      <c r="M23" s="283">
        <f t="shared" si="5"/>
        <v>97.283333333333317</v>
      </c>
      <c r="N23" s="288">
        <f t="shared" si="6"/>
        <v>0.97755696419393534</v>
      </c>
    </row>
    <row r="24" spans="2:14">
      <c r="B24" s="282">
        <v>42064</v>
      </c>
      <c r="C24" s="285">
        <f t="shared" si="0"/>
        <v>3</v>
      </c>
      <c r="D24" s="285" t="str">
        <f t="shared" si="1"/>
        <v>Q1</v>
      </c>
      <c r="E24">
        <f t="shared" si="2"/>
        <v>2015</v>
      </c>
      <c r="F24" s="283">
        <v>98.9</v>
      </c>
      <c r="J24">
        <v>2017</v>
      </c>
      <c r="K24" s="283">
        <f t="shared" si="3"/>
        <v>99.6</v>
      </c>
      <c r="L24" s="283">
        <f t="shared" si="4"/>
        <v>102.8</v>
      </c>
      <c r="M24" s="283">
        <f t="shared" si="5"/>
        <v>101.03333333333335</v>
      </c>
      <c r="N24" s="288">
        <f t="shared" si="6"/>
        <v>0.98581326294952143</v>
      </c>
    </row>
    <row r="25" spans="2:14">
      <c r="B25" s="282">
        <v>42095</v>
      </c>
      <c r="C25" s="285">
        <f t="shared" si="0"/>
        <v>4</v>
      </c>
      <c r="D25" s="285" t="str">
        <f t="shared" si="1"/>
        <v>Q2</v>
      </c>
      <c r="E25">
        <f t="shared" si="2"/>
        <v>2015</v>
      </c>
      <c r="F25" s="283">
        <v>99</v>
      </c>
      <c r="J25">
        <v>2018</v>
      </c>
      <c r="K25" s="283">
        <f t="shared" si="3"/>
        <v>104.1</v>
      </c>
      <c r="L25" s="283">
        <f t="shared" si="4"/>
        <v>111.1</v>
      </c>
      <c r="M25" s="283">
        <f t="shared" si="5"/>
        <v>108.08333333333333</v>
      </c>
      <c r="N25" s="288">
        <f t="shared" si="6"/>
        <v>0.96314572089437167</v>
      </c>
    </row>
    <row r="26" spans="2:14">
      <c r="B26" s="282">
        <v>42125</v>
      </c>
      <c r="C26" s="285">
        <f t="shared" si="0"/>
        <v>5</v>
      </c>
      <c r="D26" s="285" t="str">
        <f t="shared" si="1"/>
        <v>Q2</v>
      </c>
      <c r="E26">
        <f t="shared" si="2"/>
        <v>2015</v>
      </c>
      <c r="F26" s="283">
        <v>100.5</v>
      </c>
      <c r="J26">
        <v>2019</v>
      </c>
      <c r="K26" s="283">
        <f t="shared" si="3"/>
        <v>107.2</v>
      </c>
      <c r="L26" s="283">
        <f t="shared" si="4"/>
        <v>110.8</v>
      </c>
      <c r="M26" s="283">
        <f t="shared" si="5"/>
        <v>109.35833333333335</v>
      </c>
      <c r="N26" s="288">
        <f t="shared" si="6"/>
        <v>0.98026365922426262</v>
      </c>
    </row>
    <row r="27" spans="2:14">
      <c r="B27" s="282">
        <v>42156</v>
      </c>
      <c r="C27" s="285">
        <f t="shared" si="0"/>
        <v>6</v>
      </c>
      <c r="D27" s="285" t="str">
        <f t="shared" si="1"/>
        <v>Q2</v>
      </c>
      <c r="E27">
        <f t="shared" si="2"/>
        <v>2015</v>
      </c>
      <c r="F27" s="283">
        <v>100.6</v>
      </c>
      <c r="J27">
        <v>2020</v>
      </c>
      <c r="K27" s="283">
        <f t="shared" si="3"/>
        <v>103.1</v>
      </c>
      <c r="L27" s="283">
        <f t="shared" si="4"/>
        <v>111.4</v>
      </c>
      <c r="M27" s="283">
        <f t="shared" si="5"/>
        <v>107.68333333333335</v>
      </c>
      <c r="N27" s="288">
        <f t="shared" si="6"/>
        <v>0.95743692926791502</v>
      </c>
    </row>
    <row r="28" spans="2:14">
      <c r="B28" s="282">
        <v>42186</v>
      </c>
      <c r="C28" s="285">
        <f t="shared" si="0"/>
        <v>7</v>
      </c>
      <c r="D28" s="285" t="str">
        <f t="shared" si="1"/>
        <v>Q3</v>
      </c>
      <c r="E28">
        <f t="shared" si="2"/>
        <v>2015</v>
      </c>
      <c r="F28" s="283">
        <v>100.6</v>
      </c>
      <c r="J28">
        <v>2021</v>
      </c>
      <c r="K28" s="283">
        <f t="shared" si="3"/>
        <v>114.3</v>
      </c>
      <c r="L28" s="283">
        <f t="shared" si="4"/>
        <v>133.44800000000001</v>
      </c>
      <c r="M28" s="283">
        <f t="shared" si="5"/>
        <v>126.22258333333333</v>
      </c>
      <c r="N28" s="288">
        <f t="shared" si="6"/>
        <v>0.90554318396536271</v>
      </c>
    </row>
    <row r="29" spans="2:14">
      <c r="B29" s="282">
        <v>42217</v>
      </c>
      <c r="C29" s="285">
        <f t="shared" si="0"/>
        <v>8</v>
      </c>
      <c r="D29" s="285" t="str">
        <f t="shared" si="1"/>
        <v>Q3</v>
      </c>
      <c r="E29">
        <f t="shared" si="2"/>
        <v>2015</v>
      </c>
      <c r="F29" s="283">
        <v>100</v>
      </c>
      <c r="J29">
        <v>2022</v>
      </c>
      <c r="K29" s="283">
        <f t="shared" si="3"/>
        <v>137.76400000000001</v>
      </c>
      <c r="L29" s="283">
        <f t="shared" si="4"/>
        <v>152.38900000000001</v>
      </c>
      <c r="M29" s="283">
        <f t="shared" si="5"/>
        <v>146.51316666666671</v>
      </c>
      <c r="N29" s="288">
        <f t="shared" si="6"/>
        <v>0.9402840927834698</v>
      </c>
    </row>
    <row r="30" spans="2:14">
      <c r="B30" s="282">
        <v>42248</v>
      </c>
      <c r="C30" s="285">
        <f t="shared" si="0"/>
        <v>9</v>
      </c>
      <c r="D30" s="285" t="str">
        <f t="shared" si="1"/>
        <v>Q3</v>
      </c>
      <c r="E30">
        <f t="shared" si="2"/>
        <v>2015</v>
      </c>
      <c r="F30" s="283">
        <v>98.2</v>
      </c>
    </row>
    <row r="31" spans="2:14">
      <c r="B31" s="282">
        <v>42278</v>
      </c>
      <c r="C31" s="285">
        <f t="shared" si="0"/>
        <v>10</v>
      </c>
      <c r="D31" s="285" t="str">
        <f t="shared" si="1"/>
        <v>Q4</v>
      </c>
      <c r="E31">
        <f t="shared" si="2"/>
        <v>2015</v>
      </c>
      <c r="F31" s="283">
        <v>97.8</v>
      </c>
      <c r="J31" t="s">
        <v>338</v>
      </c>
    </row>
    <row r="32" spans="2:14">
      <c r="B32" s="282">
        <v>42309</v>
      </c>
      <c r="C32" s="285">
        <f t="shared" si="0"/>
        <v>11</v>
      </c>
      <c r="D32" s="285" t="str">
        <f t="shared" si="1"/>
        <v>Q4</v>
      </c>
      <c r="E32">
        <f t="shared" si="2"/>
        <v>2015</v>
      </c>
      <c r="F32" s="283">
        <v>97.4</v>
      </c>
      <c r="J32">
        <f>J26</f>
        <v>2019</v>
      </c>
      <c r="K32" s="283">
        <f>K26</f>
        <v>107.2</v>
      </c>
    </row>
    <row r="33" spans="2:11">
      <c r="B33" s="282">
        <v>42339</v>
      </c>
      <c r="C33" s="285">
        <f t="shared" si="0"/>
        <v>12</v>
      </c>
      <c r="D33" s="285" t="str">
        <f t="shared" si="1"/>
        <v>Q4</v>
      </c>
      <c r="E33">
        <f t="shared" si="2"/>
        <v>2015</v>
      </c>
      <c r="F33" s="283">
        <v>96</v>
      </c>
      <c r="J33" s="28" t="s">
        <v>339</v>
      </c>
      <c r="K33">
        <f>J16</f>
        <v>150.08199999999999</v>
      </c>
    </row>
    <row r="34" spans="2:11">
      <c r="B34" s="282">
        <v>42370</v>
      </c>
      <c r="C34" s="285">
        <f t="shared" si="0"/>
        <v>1</v>
      </c>
      <c r="D34" s="285" t="str">
        <f t="shared" si="1"/>
        <v>Q1</v>
      </c>
      <c r="E34">
        <f t="shared" si="2"/>
        <v>2016</v>
      </c>
      <c r="F34" s="283">
        <v>95.7</v>
      </c>
      <c r="J34" s="28" t="s">
        <v>340</v>
      </c>
      <c r="K34" s="288">
        <f>(K33/K32)-1</f>
        <v>0.4000186567164179</v>
      </c>
    </row>
    <row r="35" spans="2:11">
      <c r="B35" s="282">
        <v>42401</v>
      </c>
      <c r="C35" s="285">
        <f t="shared" si="0"/>
        <v>2</v>
      </c>
      <c r="D35" s="285" t="str">
        <f t="shared" si="1"/>
        <v>Q1</v>
      </c>
      <c r="E35">
        <f t="shared" si="2"/>
        <v>2016</v>
      </c>
      <c r="F35" s="283">
        <v>95.1</v>
      </c>
    </row>
    <row r="36" spans="2:11">
      <c r="B36" s="282">
        <v>42430</v>
      </c>
      <c r="C36" s="285">
        <f t="shared" si="0"/>
        <v>3</v>
      </c>
      <c r="D36" s="285" t="str">
        <f t="shared" si="1"/>
        <v>Q1</v>
      </c>
      <c r="E36">
        <f t="shared" si="2"/>
        <v>2016</v>
      </c>
      <c r="F36" s="283">
        <v>95.7</v>
      </c>
    </row>
    <row r="37" spans="2:11">
      <c r="B37" s="282">
        <v>42461</v>
      </c>
      <c r="C37" s="285">
        <f t="shared" si="0"/>
        <v>4</v>
      </c>
      <c r="D37" s="285" t="str">
        <f t="shared" si="1"/>
        <v>Q2</v>
      </c>
      <c r="E37">
        <f t="shared" si="2"/>
        <v>2016</v>
      </c>
      <c r="F37" s="283">
        <v>96.5</v>
      </c>
    </row>
    <row r="38" spans="2:11">
      <c r="B38" s="282">
        <v>42491</v>
      </c>
      <c r="C38" s="285">
        <f t="shared" si="0"/>
        <v>5</v>
      </c>
      <c r="D38" s="285" t="str">
        <f t="shared" si="1"/>
        <v>Q2</v>
      </c>
      <c r="E38">
        <f t="shared" si="2"/>
        <v>2016</v>
      </c>
      <c r="F38" s="283">
        <v>97.4</v>
      </c>
    </row>
    <row r="39" spans="2:11">
      <c r="B39" s="282">
        <v>42522</v>
      </c>
      <c r="C39" s="285">
        <f t="shared" si="0"/>
        <v>6</v>
      </c>
      <c r="D39" s="285" t="str">
        <f t="shared" si="1"/>
        <v>Q2</v>
      </c>
      <c r="E39">
        <f t="shared" si="2"/>
        <v>2016</v>
      </c>
      <c r="F39" s="283">
        <v>98.5</v>
      </c>
    </row>
    <row r="40" spans="2:11">
      <c r="B40" s="282">
        <v>42552</v>
      </c>
      <c r="C40" s="285">
        <f t="shared" si="0"/>
        <v>7</v>
      </c>
      <c r="D40" s="285" t="str">
        <f t="shared" si="1"/>
        <v>Q3</v>
      </c>
      <c r="E40">
        <f t="shared" si="2"/>
        <v>2016</v>
      </c>
      <c r="F40" s="283">
        <v>98.5</v>
      </c>
    </row>
    <row r="41" spans="2:11">
      <c r="B41" s="282">
        <v>42583</v>
      </c>
      <c r="C41" s="285">
        <f t="shared" si="0"/>
        <v>8</v>
      </c>
      <c r="D41" s="285" t="str">
        <f t="shared" si="1"/>
        <v>Q3</v>
      </c>
      <c r="E41">
        <f t="shared" si="2"/>
        <v>2016</v>
      </c>
      <c r="F41" s="283">
        <v>98.1</v>
      </c>
    </row>
    <row r="42" spans="2:11">
      <c r="B42" s="282">
        <v>42614</v>
      </c>
      <c r="C42" s="285">
        <f t="shared" si="0"/>
        <v>9</v>
      </c>
      <c r="D42" s="285" t="str">
        <f t="shared" si="1"/>
        <v>Q3</v>
      </c>
      <c r="E42">
        <f t="shared" si="2"/>
        <v>2016</v>
      </c>
      <c r="F42" s="283">
        <v>98</v>
      </c>
    </row>
    <row r="43" spans="2:11">
      <c r="B43" s="282">
        <v>42644</v>
      </c>
      <c r="C43" s="285">
        <f t="shared" si="0"/>
        <v>10</v>
      </c>
      <c r="D43" s="285" t="str">
        <f t="shared" si="1"/>
        <v>Q4</v>
      </c>
      <c r="E43">
        <f t="shared" si="2"/>
        <v>2016</v>
      </c>
      <c r="F43" s="283">
        <v>98.1</v>
      </c>
    </row>
    <row r="44" spans="2:11">
      <c r="B44" s="282">
        <v>42675</v>
      </c>
      <c r="C44" s="285">
        <f t="shared" si="0"/>
        <v>11</v>
      </c>
      <c r="D44" s="285" t="str">
        <f t="shared" si="1"/>
        <v>Q4</v>
      </c>
      <c r="E44">
        <f t="shared" si="2"/>
        <v>2016</v>
      </c>
      <c r="F44" s="283">
        <v>97.5</v>
      </c>
    </row>
    <row r="45" spans="2:11">
      <c r="B45" s="282">
        <v>42705</v>
      </c>
      <c r="C45" s="285">
        <f t="shared" si="0"/>
        <v>12</v>
      </c>
      <c r="D45" s="285" t="str">
        <f t="shared" si="1"/>
        <v>Q4</v>
      </c>
      <c r="E45">
        <f t="shared" si="2"/>
        <v>2016</v>
      </c>
      <c r="F45" s="283">
        <v>98.3</v>
      </c>
    </row>
    <row r="46" spans="2:11">
      <c r="B46" s="282">
        <v>42736</v>
      </c>
      <c r="C46" s="285">
        <f t="shared" si="0"/>
        <v>1</v>
      </c>
      <c r="D46" s="285" t="str">
        <f t="shared" si="1"/>
        <v>Q1</v>
      </c>
      <c r="E46">
        <f t="shared" si="2"/>
        <v>2017</v>
      </c>
      <c r="F46" s="283">
        <v>99.6</v>
      </c>
    </row>
    <row r="47" spans="2:11">
      <c r="B47" s="282">
        <v>42767</v>
      </c>
      <c r="C47" s="285">
        <f t="shared" si="0"/>
        <v>2</v>
      </c>
      <c r="D47" s="285" t="str">
        <f t="shared" si="1"/>
        <v>Q1</v>
      </c>
      <c r="E47">
        <f t="shared" si="2"/>
        <v>2017</v>
      </c>
      <c r="F47" s="283">
        <v>99.7</v>
      </c>
    </row>
    <row r="48" spans="2:11">
      <c r="B48" s="282">
        <v>42795</v>
      </c>
      <c r="C48" s="285">
        <f t="shared" si="0"/>
        <v>3</v>
      </c>
      <c r="D48" s="285" t="str">
        <f t="shared" si="1"/>
        <v>Q1</v>
      </c>
      <c r="E48">
        <f t="shared" si="2"/>
        <v>2017</v>
      </c>
      <c r="F48" s="283">
        <v>99.8</v>
      </c>
    </row>
    <row r="49" spans="2:6">
      <c r="B49" s="282">
        <v>42826</v>
      </c>
      <c r="C49" s="285">
        <f t="shared" si="0"/>
        <v>4</v>
      </c>
      <c r="D49" s="285" t="str">
        <f t="shared" si="1"/>
        <v>Q2</v>
      </c>
      <c r="E49">
        <f t="shared" si="2"/>
        <v>2017</v>
      </c>
      <c r="F49" s="283">
        <v>100.6</v>
      </c>
    </row>
    <row r="50" spans="2:6">
      <c r="B50" s="282">
        <v>42856</v>
      </c>
      <c r="C50" s="285">
        <f t="shared" si="0"/>
        <v>5</v>
      </c>
      <c r="D50" s="285" t="str">
        <f t="shared" si="1"/>
        <v>Q2</v>
      </c>
      <c r="E50">
        <f t="shared" si="2"/>
        <v>2017</v>
      </c>
      <c r="F50" s="283">
        <v>100.4</v>
      </c>
    </row>
    <row r="51" spans="2:6">
      <c r="B51" s="282">
        <v>42887</v>
      </c>
      <c r="C51" s="285">
        <f t="shared" si="0"/>
        <v>6</v>
      </c>
      <c r="D51" s="285" t="str">
        <f t="shared" si="1"/>
        <v>Q2</v>
      </c>
      <c r="E51">
        <f t="shared" si="2"/>
        <v>2017</v>
      </c>
      <c r="F51" s="283">
        <v>100.6</v>
      </c>
    </row>
    <row r="52" spans="2:6">
      <c r="B52" s="282">
        <v>42917</v>
      </c>
      <c r="C52" s="285">
        <f t="shared" si="0"/>
        <v>7</v>
      </c>
      <c r="D52" s="285" t="str">
        <f t="shared" si="1"/>
        <v>Q3</v>
      </c>
      <c r="E52">
        <f t="shared" si="2"/>
        <v>2017</v>
      </c>
      <c r="F52" s="283">
        <v>100.5</v>
      </c>
    </row>
    <row r="53" spans="2:6">
      <c r="B53" s="282">
        <v>42948</v>
      </c>
      <c r="C53" s="285">
        <f t="shared" si="0"/>
        <v>8</v>
      </c>
      <c r="D53" s="285" t="str">
        <f t="shared" si="1"/>
        <v>Q3</v>
      </c>
      <c r="E53">
        <f t="shared" si="2"/>
        <v>2017</v>
      </c>
      <c r="F53" s="283">
        <v>101.4</v>
      </c>
    </row>
    <row r="54" spans="2:6">
      <c r="B54" s="282">
        <v>42979</v>
      </c>
      <c r="C54" s="285">
        <f t="shared" si="0"/>
        <v>9</v>
      </c>
      <c r="D54" s="285" t="str">
        <f t="shared" si="1"/>
        <v>Q3</v>
      </c>
      <c r="E54">
        <f t="shared" si="2"/>
        <v>2017</v>
      </c>
      <c r="F54" s="283">
        <v>102.2</v>
      </c>
    </row>
    <row r="55" spans="2:6">
      <c r="B55" s="282">
        <v>43009</v>
      </c>
      <c r="C55" s="285">
        <f t="shared" si="0"/>
        <v>10</v>
      </c>
      <c r="D55" s="285" t="str">
        <f t="shared" si="1"/>
        <v>Q4</v>
      </c>
      <c r="E55">
        <f t="shared" si="2"/>
        <v>2017</v>
      </c>
      <c r="F55" s="283">
        <v>102.1</v>
      </c>
    </row>
    <row r="56" spans="2:6">
      <c r="B56" s="282">
        <v>43040</v>
      </c>
      <c r="C56" s="285">
        <f t="shared" si="0"/>
        <v>11</v>
      </c>
      <c r="D56" s="285" t="str">
        <f t="shared" si="1"/>
        <v>Q4</v>
      </c>
      <c r="E56">
        <f t="shared" si="2"/>
        <v>2017</v>
      </c>
      <c r="F56" s="283">
        <v>102.7</v>
      </c>
    </row>
    <row r="57" spans="2:6">
      <c r="B57" s="282">
        <v>43070</v>
      </c>
      <c r="C57" s="285">
        <f t="shared" si="0"/>
        <v>12</v>
      </c>
      <c r="D57" s="285" t="str">
        <f t="shared" si="1"/>
        <v>Q4</v>
      </c>
      <c r="E57">
        <f t="shared" si="2"/>
        <v>2017</v>
      </c>
      <c r="F57" s="283">
        <v>102.8</v>
      </c>
    </row>
    <row r="58" spans="2:6">
      <c r="B58" s="282">
        <v>43101</v>
      </c>
      <c r="C58" s="285">
        <f t="shared" si="0"/>
        <v>1</v>
      </c>
      <c r="D58" s="285" t="str">
        <f t="shared" si="1"/>
        <v>Q1</v>
      </c>
      <c r="E58">
        <f t="shared" si="2"/>
        <v>2018</v>
      </c>
      <c r="F58" s="283">
        <v>104.1</v>
      </c>
    </row>
    <row r="59" spans="2:6">
      <c r="B59" s="282">
        <v>43132</v>
      </c>
      <c r="C59" s="285">
        <f t="shared" si="0"/>
        <v>2</v>
      </c>
      <c r="D59" s="285" t="str">
        <f t="shared" si="1"/>
        <v>Q1</v>
      </c>
      <c r="E59">
        <f t="shared" si="2"/>
        <v>2018</v>
      </c>
      <c r="F59" s="283">
        <v>104.3</v>
      </c>
    </row>
    <row r="60" spans="2:6">
      <c r="B60" s="282">
        <v>43160</v>
      </c>
      <c r="C60" s="285">
        <f t="shared" si="0"/>
        <v>3</v>
      </c>
      <c r="D60" s="285" t="str">
        <f t="shared" si="1"/>
        <v>Q1</v>
      </c>
      <c r="E60">
        <f t="shared" si="2"/>
        <v>2018</v>
      </c>
      <c r="F60" s="283">
        <v>105.3</v>
      </c>
    </row>
    <row r="61" spans="2:6">
      <c r="B61" s="282">
        <v>43191</v>
      </c>
      <c r="C61" s="285">
        <f t="shared" si="0"/>
        <v>4</v>
      </c>
      <c r="D61" s="285" t="str">
        <f t="shared" si="1"/>
        <v>Q2</v>
      </c>
      <c r="E61">
        <f t="shared" si="2"/>
        <v>2018</v>
      </c>
      <c r="F61" s="283">
        <v>106.9</v>
      </c>
    </row>
    <row r="62" spans="2:6">
      <c r="B62" s="282">
        <v>43221</v>
      </c>
      <c r="C62" s="285">
        <f t="shared" si="0"/>
        <v>5</v>
      </c>
      <c r="D62" s="285" t="str">
        <f t="shared" si="1"/>
        <v>Q2</v>
      </c>
      <c r="E62">
        <f t="shared" si="2"/>
        <v>2018</v>
      </c>
      <c r="F62" s="283">
        <v>109</v>
      </c>
    </row>
    <row r="63" spans="2:6">
      <c r="B63" s="282">
        <v>43252</v>
      </c>
      <c r="C63" s="285">
        <f t="shared" si="0"/>
        <v>6</v>
      </c>
      <c r="D63" s="285" t="str">
        <f t="shared" si="1"/>
        <v>Q2</v>
      </c>
      <c r="E63">
        <f t="shared" si="2"/>
        <v>2018</v>
      </c>
      <c r="F63" s="283">
        <v>109.5</v>
      </c>
    </row>
    <row r="64" spans="2:6">
      <c r="B64" s="282">
        <v>43282</v>
      </c>
      <c r="C64" s="285">
        <f t="shared" si="0"/>
        <v>7</v>
      </c>
      <c r="D64" s="285" t="str">
        <f t="shared" si="1"/>
        <v>Q3</v>
      </c>
      <c r="E64">
        <f t="shared" si="2"/>
        <v>2018</v>
      </c>
      <c r="F64" s="283">
        <v>109.8</v>
      </c>
    </row>
    <row r="65" spans="2:6">
      <c r="B65" s="282">
        <v>43313</v>
      </c>
      <c r="C65" s="285">
        <f t="shared" si="0"/>
        <v>8</v>
      </c>
      <c r="D65" s="285" t="str">
        <f t="shared" si="1"/>
        <v>Q3</v>
      </c>
      <c r="E65">
        <f t="shared" si="2"/>
        <v>2018</v>
      </c>
      <c r="F65" s="283">
        <v>109.6</v>
      </c>
    </row>
    <row r="66" spans="2:6">
      <c r="B66" s="282">
        <v>43344</v>
      </c>
      <c r="C66" s="285">
        <f t="shared" si="0"/>
        <v>9</v>
      </c>
      <c r="D66" s="285" t="str">
        <f t="shared" si="1"/>
        <v>Q3</v>
      </c>
      <c r="E66">
        <f t="shared" si="2"/>
        <v>2018</v>
      </c>
      <c r="F66" s="283">
        <v>110</v>
      </c>
    </row>
    <row r="67" spans="2:6">
      <c r="B67" s="282">
        <v>43374</v>
      </c>
      <c r="C67" s="285">
        <f t="shared" si="0"/>
        <v>10</v>
      </c>
      <c r="D67" s="285" t="str">
        <f t="shared" si="1"/>
        <v>Q4</v>
      </c>
      <c r="E67">
        <f t="shared" si="2"/>
        <v>2018</v>
      </c>
      <c r="F67" s="283">
        <v>111.1</v>
      </c>
    </row>
    <row r="68" spans="2:6">
      <c r="B68" s="282">
        <v>43405</v>
      </c>
      <c r="C68" s="285">
        <f t="shared" si="0"/>
        <v>11</v>
      </c>
      <c r="D68" s="285" t="str">
        <f t="shared" si="1"/>
        <v>Q4</v>
      </c>
      <c r="E68">
        <f t="shared" si="2"/>
        <v>2018</v>
      </c>
      <c r="F68" s="283">
        <v>109.5</v>
      </c>
    </row>
    <row r="69" spans="2:6">
      <c r="B69" s="282">
        <v>43435</v>
      </c>
      <c r="C69" s="285">
        <f t="shared" si="0"/>
        <v>12</v>
      </c>
      <c r="D69" s="285" t="str">
        <f t="shared" si="1"/>
        <v>Q4</v>
      </c>
      <c r="E69">
        <f t="shared" si="2"/>
        <v>2018</v>
      </c>
      <c r="F69" s="283">
        <v>107.9</v>
      </c>
    </row>
    <row r="70" spans="2:6">
      <c r="B70" s="282">
        <v>43466</v>
      </c>
      <c r="C70" s="285">
        <f t="shared" si="0"/>
        <v>1</v>
      </c>
      <c r="D70" s="285" t="str">
        <f t="shared" si="1"/>
        <v>Q1</v>
      </c>
      <c r="E70">
        <f t="shared" si="2"/>
        <v>2019</v>
      </c>
      <c r="F70" s="283">
        <v>107.2</v>
      </c>
    </row>
    <row r="71" spans="2:6">
      <c r="B71" s="282">
        <v>43497</v>
      </c>
      <c r="C71" s="285">
        <f t="shared" si="0"/>
        <v>2</v>
      </c>
      <c r="D71" s="285" t="str">
        <f t="shared" si="1"/>
        <v>Q1</v>
      </c>
      <c r="E71">
        <f t="shared" si="2"/>
        <v>2019</v>
      </c>
      <c r="F71" s="283">
        <v>107.8</v>
      </c>
    </row>
    <row r="72" spans="2:6">
      <c r="B72" s="282">
        <v>43525</v>
      </c>
      <c r="C72" s="285">
        <f t="shared" si="0"/>
        <v>3</v>
      </c>
      <c r="D72" s="285" t="str">
        <f t="shared" si="1"/>
        <v>Q1</v>
      </c>
      <c r="E72">
        <f t="shared" si="2"/>
        <v>2019</v>
      </c>
      <c r="F72" s="283">
        <v>108.9</v>
      </c>
    </row>
    <row r="73" spans="2:6">
      <c r="B73" s="282">
        <v>43556</v>
      </c>
      <c r="C73" s="285">
        <f t="shared" si="0"/>
        <v>4</v>
      </c>
      <c r="D73" s="285" t="str">
        <f t="shared" si="1"/>
        <v>Q2</v>
      </c>
      <c r="E73">
        <f t="shared" si="2"/>
        <v>2019</v>
      </c>
      <c r="F73" s="283">
        <v>110.8</v>
      </c>
    </row>
    <row r="74" spans="2:6">
      <c r="B74" s="282">
        <v>43586</v>
      </c>
      <c r="C74" s="285">
        <f t="shared" si="0"/>
        <v>5</v>
      </c>
      <c r="D74" s="285" t="str">
        <f t="shared" si="1"/>
        <v>Q2</v>
      </c>
      <c r="E74">
        <f t="shared" si="2"/>
        <v>2019</v>
      </c>
      <c r="F74" s="283">
        <v>110.8</v>
      </c>
    </row>
    <row r="75" spans="2:6">
      <c r="B75" s="282">
        <v>43617</v>
      </c>
      <c r="C75" s="285">
        <f t="shared" si="0"/>
        <v>6</v>
      </c>
      <c r="D75" s="285" t="str">
        <f t="shared" si="1"/>
        <v>Q2</v>
      </c>
      <c r="E75">
        <f t="shared" si="2"/>
        <v>2019</v>
      </c>
      <c r="F75" s="283">
        <v>109.6</v>
      </c>
    </row>
    <row r="76" spans="2:6">
      <c r="B76" s="282">
        <v>43647</v>
      </c>
      <c r="C76" s="285">
        <f t="shared" si="0"/>
        <v>7</v>
      </c>
      <c r="D76" s="285" t="str">
        <f t="shared" si="1"/>
        <v>Q3</v>
      </c>
      <c r="E76">
        <f t="shared" si="2"/>
        <v>2019</v>
      </c>
      <c r="F76" s="283">
        <v>110.3</v>
      </c>
    </row>
    <row r="77" spans="2:6">
      <c r="B77" s="282">
        <v>43678</v>
      </c>
      <c r="C77" s="285">
        <f t="shared" si="0"/>
        <v>8</v>
      </c>
      <c r="D77" s="285" t="str">
        <f t="shared" si="1"/>
        <v>Q3</v>
      </c>
      <c r="E77">
        <f t="shared" si="2"/>
        <v>2019</v>
      </c>
      <c r="F77" s="283">
        <v>109.6</v>
      </c>
    </row>
    <row r="78" spans="2:6">
      <c r="B78" s="282">
        <v>43709</v>
      </c>
      <c r="C78" s="285">
        <f t="shared" si="0"/>
        <v>9</v>
      </c>
      <c r="D78" s="285" t="str">
        <f t="shared" si="1"/>
        <v>Q3</v>
      </c>
      <c r="E78">
        <f t="shared" si="2"/>
        <v>2019</v>
      </c>
      <c r="F78" s="283">
        <v>109.4</v>
      </c>
    </row>
    <row r="79" spans="2:6">
      <c r="B79" s="282">
        <v>43739</v>
      </c>
      <c r="C79" s="285">
        <f t="shared" si="0"/>
        <v>10</v>
      </c>
      <c r="D79" s="285" t="str">
        <f t="shared" si="1"/>
        <v>Q4</v>
      </c>
      <c r="E79">
        <f t="shared" si="2"/>
        <v>2019</v>
      </c>
      <c r="F79" s="283">
        <v>109.3</v>
      </c>
    </row>
    <row r="80" spans="2:6">
      <c r="B80" s="282">
        <v>43770</v>
      </c>
      <c r="C80" s="285">
        <f t="shared" si="0"/>
        <v>11</v>
      </c>
      <c r="D80" s="285" t="str">
        <f t="shared" si="1"/>
        <v>Q4</v>
      </c>
      <c r="E80">
        <f t="shared" si="2"/>
        <v>2019</v>
      </c>
      <c r="F80" s="283">
        <v>109.2</v>
      </c>
    </row>
    <row r="81" spans="2:6">
      <c r="B81" s="282">
        <v>43800</v>
      </c>
      <c r="C81" s="285">
        <f t="shared" si="0"/>
        <v>12</v>
      </c>
      <c r="D81" s="285" t="str">
        <f t="shared" si="1"/>
        <v>Q4</v>
      </c>
      <c r="E81">
        <f t="shared" si="2"/>
        <v>2019</v>
      </c>
      <c r="F81" s="283">
        <v>109.4</v>
      </c>
    </row>
    <row r="82" spans="2:6">
      <c r="B82" s="282">
        <v>43831</v>
      </c>
      <c r="C82" s="285">
        <f t="shared" si="0"/>
        <v>1</v>
      </c>
      <c r="D82" s="285" t="str">
        <f t="shared" si="1"/>
        <v>Q1</v>
      </c>
      <c r="E82">
        <f t="shared" si="2"/>
        <v>2020</v>
      </c>
      <c r="F82" s="283">
        <v>109.9</v>
      </c>
    </row>
    <row r="83" spans="2:6">
      <c r="B83" s="282">
        <v>43862</v>
      </c>
      <c r="C83" s="285">
        <f t="shared" si="0"/>
        <v>2</v>
      </c>
      <c r="D83" s="285" t="str">
        <f t="shared" si="1"/>
        <v>Q1</v>
      </c>
      <c r="E83">
        <f t="shared" si="2"/>
        <v>2020</v>
      </c>
      <c r="F83" s="283">
        <v>109.1</v>
      </c>
    </row>
    <row r="84" spans="2:6">
      <c r="B84" s="282">
        <v>43891</v>
      </c>
      <c r="C84" s="285">
        <f t="shared" si="0"/>
        <v>3</v>
      </c>
      <c r="D84" s="285" t="str">
        <f t="shared" si="1"/>
        <v>Q1</v>
      </c>
      <c r="E84">
        <f t="shared" si="2"/>
        <v>2020</v>
      </c>
      <c r="F84" s="283">
        <v>107.6</v>
      </c>
    </row>
    <row r="85" spans="2:6">
      <c r="B85" s="282">
        <v>43922</v>
      </c>
      <c r="C85" s="285">
        <f t="shared" si="0"/>
        <v>4</v>
      </c>
      <c r="D85" s="285" t="str">
        <f t="shared" si="1"/>
        <v>Q2</v>
      </c>
      <c r="E85">
        <f t="shared" si="2"/>
        <v>2020</v>
      </c>
      <c r="F85" s="283">
        <v>103.1</v>
      </c>
    </row>
    <row r="86" spans="2:6">
      <c r="B86" s="282">
        <v>43952</v>
      </c>
      <c r="C86" s="285">
        <f t="shared" ref="C86:C105" si="7">MONTH(B86)</f>
        <v>5</v>
      </c>
      <c r="D86" s="285" t="str">
        <f t="shared" ref="D86:D105" si="8">INDEX($H$3:$S$3,MATCH(C86,$H$2:$S$2,0))</f>
        <v>Q2</v>
      </c>
      <c r="E86">
        <f t="shared" ref="E86:E105" si="9">YEAR(B86)</f>
        <v>2020</v>
      </c>
      <c r="F86" s="283">
        <v>103.3</v>
      </c>
    </row>
    <row r="87" spans="2:6">
      <c r="B87" s="282">
        <v>43983</v>
      </c>
      <c r="C87" s="285">
        <f t="shared" si="7"/>
        <v>6</v>
      </c>
      <c r="D87" s="285" t="str">
        <f t="shared" si="8"/>
        <v>Q2</v>
      </c>
      <c r="E87">
        <f t="shared" si="9"/>
        <v>2020</v>
      </c>
      <c r="F87" s="283">
        <v>105.7</v>
      </c>
    </row>
    <row r="88" spans="2:6">
      <c r="B88" s="282">
        <v>44013</v>
      </c>
      <c r="C88" s="285">
        <f t="shared" si="7"/>
        <v>7</v>
      </c>
      <c r="D88" s="285" t="str">
        <f t="shared" si="8"/>
        <v>Q3</v>
      </c>
      <c r="E88">
        <f t="shared" si="9"/>
        <v>2020</v>
      </c>
      <c r="F88" s="283">
        <v>107.4</v>
      </c>
    </row>
    <row r="89" spans="2:6">
      <c r="B89" s="282">
        <v>44044</v>
      </c>
      <c r="C89" s="285">
        <f t="shared" si="7"/>
        <v>8</v>
      </c>
      <c r="D89" s="285" t="str">
        <f t="shared" si="8"/>
        <v>Q3</v>
      </c>
      <c r="E89">
        <f t="shared" si="9"/>
        <v>2020</v>
      </c>
      <c r="F89" s="283">
        <v>108.2</v>
      </c>
    </row>
    <row r="90" spans="2:6">
      <c r="B90" s="282">
        <v>44075</v>
      </c>
      <c r="C90" s="285">
        <f t="shared" si="7"/>
        <v>9</v>
      </c>
      <c r="D90" s="285" t="str">
        <f t="shared" si="8"/>
        <v>Q3</v>
      </c>
      <c r="E90">
        <f t="shared" si="9"/>
        <v>2020</v>
      </c>
      <c r="F90" s="283">
        <v>108.7</v>
      </c>
    </row>
    <row r="91" spans="2:6">
      <c r="B91" s="282">
        <v>44105</v>
      </c>
      <c r="C91" s="285">
        <f t="shared" si="7"/>
        <v>10</v>
      </c>
      <c r="D91" s="285" t="str">
        <f t="shared" si="8"/>
        <v>Q4</v>
      </c>
      <c r="E91">
        <f t="shared" si="9"/>
        <v>2020</v>
      </c>
      <c r="F91" s="283">
        <v>108.6</v>
      </c>
    </row>
    <row r="92" spans="2:6">
      <c r="B92" s="282">
        <v>44136</v>
      </c>
      <c r="C92" s="285">
        <f t="shared" si="7"/>
        <v>11</v>
      </c>
      <c r="D92" s="285" t="str">
        <f t="shared" si="8"/>
        <v>Q4</v>
      </c>
      <c r="E92">
        <f t="shared" si="9"/>
        <v>2020</v>
      </c>
      <c r="F92" s="283">
        <v>109.2</v>
      </c>
    </row>
    <row r="93" spans="2:6">
      <c r="B93" s="282">
        <v>44166</v>
      </c>
      <c r="C93" s="285">
        <f t="shared" si="7"/>
        <v>12</v>
      </c>
      <c r="D93" s="285" t="str">
        <f t="shared" si="8"/>
        <v>Q4</v>
      </c>
      <c r="E93">
        <f t="shared" si="9"/>
        <v>2020</v>
      </c>
      <c r="F93" s="283">
        <v>111.4</v>
      </c>
    </row>
    <row r="94" spans="2:6">
      <c r="B94" s="282">
        <v>44197</v>
      </c>
      <c r="C94" s="285">
        <f t="shared" si="7"/>
        <v>1</v>
      </c>
      <c r="D94" s="285" t="str">
        <f t="shared" si="8"/>
        <v>Q1</v>
      </c>
      <c r="E94">
        <f t="shared" si="9"/>
        <v>2021</v>
      </c>
      <c r="F94" s="283">
        <v>114.3</v>
      </c>
    </row>
    <row r="95" spans="2:6">
      <c r="B95" s="282">
        <v>44228</v>
      </c>
      <c r="C95" s="285">
        <f t="shared" si="7"/>
        <v>2</v>
      </c>
      <c r="D95" s="285" t="str">
        <f t="shared" si="8"/>
        <v>Q1</v>
      </c>
      <c r="E95">
        <f t="shared" si="9"/>
        <v>2021</v>
      </c>
      <c r="F95" s="283">
        <v>116</v>
      </c>
    </row>
    <row r="96" spans="2:6">
      <c r="B96" s="282">
        <v>44256</v>
      </c>
      <c r="C96" s="285">
        <f t="shared" si="7"/>
        <v>3</v>
      </c>
      <c r="D96" s="285" t="str">
        <f t="shared" si="8"/>
        <v>Q1</v>
      </c>
      <c r="E96">
        <f t="shared" si="9"/>
        <v>2021</v>
      </c>
      <c r="F96" s="283">
        <v>119.3</v>
      </c>
    </row>
    <row r="97" spans="2:6">
      <c r="B97" s="282">
        <v>44287</v>
      </c>
      <c r="C97" s="285">
        <f t="shared" si="7"/>
        <v>4</v>
      </c>
      <c r="D97" s="285" t="str">
        <f t="shared" si="8"/>
        <v>Q2</v>
      </c>
      <c r="E97">
        <f t="shared" si="9"/>
        <v>2021</v>
      </c>
      <c r="F97" s="283">
        <v>121.3</v>
      </c>
    </row>
    <row r="98" spans="2:6">
      <c r="B98" s="282">
        <v>44317</v>
      </c>
      <c r="C98" s="285">
        <f t="shared" si="7"/>
        <v>5</v>
      </c>
      <c r="D98" s="285" t="str">
        <f t="shared" si="8"/>
        <v>Q2</v>
      </c>
      <c r="E98">
        <f t="shared" si="9"/>
        <v>2021</v>
      </c>
      <c r="F98" s="283">
        <v>125.9</v>
      </c>
    </row>
    <row r="99" spans="2:6">
      <c r="B99" s="282">
        <v>44348</v>
      </c>
      <c r="C99" s="285">
        <f t="shared" si="7"/>
        <v>6</v>
      </c>
      <c r="D99" s="285" t="str">
        <f t="shared" si="8"/>
        <v>Q2</v>
      </c>
      <c r="E99">
        <f t="shared" si="9"/>
        <v>2021</v>
      </c>
      <c r="F99" s="283">
        <v>128.69999999999999</v>
      </c>
    </row>
    <row r="100" spans="2:6">
      <c r="B100" s="282">
        <v>44378</v>
      </c>
      <c r="C100" s="285">
        <f t="shared" si="7"/>
        <v>7</v>
      </c>
      <c r="D100" s="285" t="str">
        <f t="shared" si="8"/>
        <v>Q3</v>
      </c>
      <c r="E100">
        <f t="shared" si="9"/>
        <v>2021</v>
      </c>
      <c r="F100" s="283">
        <v>130.13300000000001</v>
      </c>
    </row>
    <row r="101" spans="2:6">
      <c r="B101" s="282">
        <v>44409</v>
      </c>
      <c r="C101" s="285">
        <f t="shared" si="7"/>
        <v>8</v>
      </c>
      <c r="D101" s="285" t="str">
        <f t="shared" si="8"/>
        <v>Q3</v>
      </c>
      <c r="E101">
        <f t="shared" si="9"/>
        <v>2021</v>
      </c>
      <c r="F101" s="283">
        <v>130.43799999999999</v>
      </c>
    </row>
    <row r="102" spans="2:6">
      <c r="B102" s="282">
        <v>44440</v>
      </c>
      <c r="C102" s="285">
        <f t="shared" si="7"/>
        <v>9</v>
      </c>
      <c r="D102" s="285" t="str">
        <f t="shared" si="8"/>
        <v>Q3</v>
      </c>
      <c r="E102">
        <f t="shared" si="9"/>
        <v>2021</v>
      </c>
      <c r="F102" s="283">
        <v>130.56700000000001</v>
      </c>
    </row>
    <row r="103" spans="2:6">
      <c r="B103" s="282">
        <v>44470</v>
      </c>
      <c r="C103" s="285">
        <f t="shared" si="7"/>
        <v>10</v>
      </c>
      <c r="D103" s="285" t="str">
        <f t="shared" si="8"/>
        <v>Q4</v>
      </c>
      <c r="E103">
        <f t="shared" si="9"/>
        <v>2021</v>
      </c>
      <c r="F103" s="283">
        <v>131.82499999999999</v>
      </c>
    </row>
    <row r="104" spans="2:6">
      <c r="B104" s="282">
        <v>44501</v>
      </c>
      <c r="C104" s="285">
        <f t="shared" si="7"/>
        <v>11</v>
      </c>
      <c r="D104" s="285" t="str">
        <f t="shared" si="8"/>
        <v>Q4</v>
      </c>
      <c r="E104">
        <f t="shared" si="9"/>
        <v>2021</v>
      </c>
      <c r="F104" s="283">
        <v>132.76</v>
      </c>
    </row>
    <row r="105" spans="2:6">
      <c r="B105" s="282">
        <v>44531</v>
      </c>
      <c r="C105" s="285">
        <f t="shared" si="7"/>
        <v>12</v>
      </c>
      <c r="D105" s="285" t="str">
        <f t="shared" si="8"/>
        <v>Q4</v>
      </c>
      <c r="E105">
        <f t="shared" si="9"/>
        <v>2021</v>
      </c>
      <c r="F105" s="283">
        <v>133.44800000000001</v>
      </c>
    </row>
    <row r="106" spans="2:6">
      <c r="B106" s="282">
        <v>44562</v>
      </c>
      <c r="C106" s="285">
        <f t="shared" ref="C106:C119" si="10">MONTH(B106)</f>
        <v>1</v>
      </c>
      <c r="D106" s="285" t="str">
        <f t="shared" ref="D106:D119" si="11">INDEX($H$3:$S$3,MATCH(C106,$H$2:$S$2,0))</f>
        <v>Q1</v>
      </c>
      <c r="E106">
        <f t="shared" ref="E106:E119" si="12">YEAR(B106)</f>
        <v>2022</v>
      </c>
      <c r="F106">
        <v>137.76400000000001</v>
      </c>
    </row>
    <row r="107" spans="2:6">
      <c r="B107" s="282">
        <v>44593</v>
      </c>
      <c r="C107" s="285">
        <f t="shared" si="10"/>
        <v>2</v>
      </c>
      <c r="D107" s="285" t="str">
        <f t="shared" si="11"/>
        <v>Q1</v>
      </c>
      <c r="E107">
        <f t="shared" si="12"/>
        <v>2022</v>
      </c>
      <c r="F107">
        <v>140.93100000000001</v>
      </c>
    </row>
    <row r="108" spans="2:6">
      <c r="B108" s="282">
        <v>44621</v>
      </c>
      <c r="C108" s="285">
        <f t="shared" si="10"/>
        <v>3</v>
      </c>
      <c r="D108" s="285" t="str">
        <f t="shared" si="11"/>
        <v>Q1</v>
      </c>
      <c r="E108">
        <f t="shared" si="12"/>
        <v>2022</v>
      </c>
      <c r="F108">
        <v>146.31399999999999</v>
      </c>
    </row>
    <row r="109" spans="2:6">
      <c r="B109" s="282">
        <v>44652</v>
      </c>
      <c r="C109" s="285">
        <f t="shared" si="10"/>
        <v>4</v>
      </c>
      <c r="D109" s="285" t="str">
        <f t="shared" si="11"/>
        <v>Q2</v>
      </c>
      <c r="E109">
        <f t="shared" si="12"/>
        <v>2022</v>
      </c>
      <c r="F109">
        <v>147.935</v>
      </c>
    </row>
    <row r="110" spans="2:6">
      <c r="B110" s="282">
        <v>44682</v>
      </c>
      <c r="C110" s="285">
        <f t="shared" si="10"/>
        <v>5</v>
      </c>
      <c r="D110" s="285" t="str">
        <f t="shared" si="11"/>
        <v>Q2</v>
      </c>
      <c r="E110">
        <f t="shared" si="12"/>
        <v>2022</v>
      </c>
      <c r="F110">
        <v>150.792</v>
      </c>
    </row>
    <row r="111" spans="2:6">
      <c r="B111" s="282">
        <v>44713</v>
      </c>
      <c r="C111" s="285">
        <f t="shared" si="10"/>
        <v>6</v>
      </c>
      <c r="D111" s="285" t="str">
        <f t="shared" si="11"/>
        <v>Q2</v>
      </c>
      <c r="E111">
        <f t="shared" si="12"/>
        <v>2022</v>
      </c>
      <c r="F111">
        <v>152.38900000000001</v>
      </c>
    </row>
    <row r="112" spans="2:6">
      <c r="B112" s="282">
        <v>44743</v>
      </c>
      <c r="C112" s="285">
        <f t="shared" si="10"/>
        <v>7</v>
      </c>
      <c r="D112" s="285" t="str">
        <f t="shared" si="11"/>
        <v>Q3</v>
      </c>
      <c r="E112">
        <f t="shared" si="12"/>
        <v>2022</v>
      </c>
      <c r="F112">
        <v>149.71700000000001</v>
      </c>
    </row>
    <row r="113" spans="2:6">
      <c r="B113" s="282">
        <v>44774</v>
      </c>
      <c r="C113" s="285">
        <f t="shared" si="10"/>
        <v>8</v>
      </c>
      <c r="D113" s="285" t="str">
        <f t="shared" si="11"/>
        <v>Q3</v>
      </c>
      <c r="E113">
        <f t="shared" si="12"/>
        <v>2022</v>
      </c>
      <c r="F113">
        <v>147.46799999999999</v>
      </c>
    </row>
    <row r="114" spans="2:6">
      <c r="B114" s="282">
        <v>44805</v>
      </c>
      <c r="C114" s="285">
        <f t="shared" si="10"/>
        <v>9</v>
      </c>
      <c r="D114" s="285" t="str">
        <f t="shared" si="11"/>
        <v>Q3</v>
      </c>
      <c r="E114">
        <f t="shared" si="12"/>
        <v>2022</v>
      </c>
      <c r="F114">
        <v>147.29599999999999</v>
      </c>
    </row>
    <row r="115" spans="2:6">
      <c r="B115" s="282">
        <v>44835</v>
      </c>
      <c r="C115" s="285">
        <f t="shared" si="10"/>
        <v>10</v>
      </c>
      <c r="D115" s="285" t="str">
        <f t="shared" si="11"/>
        <v>Q4</v>
      </c>
      <c r="E115">
        <f t="shared" si="12"/>
        <v>2022</v>
      </c>
      <c r="F115">
        <v>147.58799999999999</v>
      </c>
    </row>
    <row r="116" spans="2:6">
      <c r="B116" s="282">
        <v>44866</v>
      </c>
      <c r="C116" s="285">
        <f t="shared" si="10"/>
        <v>11</v>
      </c>
      <c r="D116" s="285" t="str">
        <f t="shared" si="11"/>
        <v>Q4</v>
      </c>
      <c r="E116">
        <f t="shared" si="12"/>
        <v>2022</v>
      </c>
      <c r="F116">
        <v>146.87</v>
      </c>
    </row>
    <row r="117" spans="2:6">
      <c r="B117" s="282">
        <v>44896</v>
      </c>
      <c r="C117" s="285">
        <f t="shared" si="10"/>
        <v>12</v>
      </c>
      <c r="D117" s="285" t="str">
        <f t="shared" si="11"/>
        <v>Q4</v>
      </c>
      <c r="E117">
        <f t="shared" si="12"/>
        <v>2022</v>
      </c>
      <c r="F117">
        <v>143.09399999999999</v>
      </c>
    </row>
    <row r="118" spans="2:6">
      <c r="B118" s="282">
        <v>44927</v>
      </c>
      <c r="C118" s="285">
        <f t="shared" si="10"/>
        <v>1</v>
      </c>
      <c r="D118" s="285" t="str">
        <f t="shared" si="11"/>
        <v>Q1</v>
      </c>
      <c r="E118">
        <f t="shared" si="12"/>
        <v>2023</v>
      </c>
      <c r="F118">
        <v>145.511</v>
      </c>
    </row>
    <row r="119" spans="2:6">
      <c r="B119" s="282">
        <v>44958</v>
      </c>
      <c r="C119" s="285">
        <f t="shared" si="10"/>
        <v>2</v>
      </c>
      <c r="D119" s="285" t="str">
        <f t="shared" si="11"/>
        <v>Q1</v>
      </c>
      <c r="E119">
        <f t="shared" si="12"/>
        <v>2023</v>
      </c>
      <c r="F119">
        <v>145.98599999999999</v>
      </c>
    </row>
    <row r="120" spans="2:6">
      <c r="B120" s="282">
        <v>44986</v>
      </c>
      <c r="C120" s="285">
        <f t="shared" ref="C120:C130" si="13">MONTH(B120)</f>
        <v>3</v>
      </c>
      <c r="D120" s="285" t="str">
        <f t="shared" ref="D120:D130" si="14">INDEX($H$3:$S$3,MATCH(C120,$H$2:$S$2,0))</f>
        <v>Q1</v>
      </c>
      <c r="E120">
        <f t="shared" ref="E120:E130" si="15">YEAR(B120)</f>
        <v>2023</v>
      </c>
      <c r="F120">
        <v>146.565</v>
      </c>
    </row>
    <row r="121" spans="2:6">
      <c r="B121" s="282">
        <v>45017</v>
      </c>
      <c r="C121" s="285">
        <f t="shared" si="13"/>
        <v>4</v>
      </c>
      <c r="D121" s="285" t="str">
        <f t="shared" si="14"/>
        <v>Q2</v>
      </c>
      <c r="E121">
        <f t="shared" si="15"/>
        <v>2023</v>
      </c>
      <c r="F121">
        <v>147.23400000000001</v>
      </c>
    </row>
    <row r="122" spans="2:6">
      <c r="B122" s="282">
        <v>45047</v>
      </c>
      <c r="C122" s="285">
        <f t="shared" si="13"/>
        <v>5</v>
      </c>
      <c r="D122" s="285" t="str">
        <f t="shared" si="14"/>
        <v>Q2</v>
      </c>
      <c r="E122">
        <f t="shared" si="15"/>
        <v>2023</v>
      </c>
      <c r="F122">
        <v>145.90299999999999</v>
      </c>
    </row>
    <row r="123" spans="2:6">
      <c r="B123" s="282">
        <v>45078</v>
      </c>
      <c r="C123" s="285">
        <f t="shared" si="13"/>
        <v>6</v>
      </c>
      <c r="D123" s="285" t="str">
        <f t="shared" si="14"/>
        <v>Q2</v>
      </c>
      <c r="E123">
        <f t="shared" si="15"/>
        <v>2023</v>
      </c>
      <c r="F123">
        <v>146.17699999999999</v>
      </c>
    </row>
    <row r="124" spans="2:6">
      <c r="B124" s="282">
        <v>45108</v>
      </c>
      <c r="C124" s="285">
        <f t="shared" si="13"/>
        <v>7</v>
      </c>
      <c r="D124" s="285" t="str">
        <f t="shared" si="14"/>
        <v>Q3</v>
      </c>
      <c r="E124">
        <f t="shared" si="15"/>
        <v>2023</v>
      </c>
      <c r="F124">
        <v>146.65700000000001</v>
      </c>
    </row>
    <row r="125" spans="2:6">
      <c r="B125" s="282">
        <v>45139</v>
      </c>
      <c r="C125" s="285">
        <f t="shared" si="13"/>
        <v>8</v>
      </c>
      <c r="D125" s="285" t="str">
        <f t="shared" si="14"/>
        <v>Q3</v>
      </c>
      <c r="E125">
        <f t="shared" si="15"/>
        <v>2023</v>
      </c>
      <c r="F125">
        <v>148.54900000000001</v>
      </c>
    </row>
    <row r="126" spans="2:6">
      <c r="B126" s="282">
        <v>45170</v>
      </c>
      <c r="C126" s="285">
        <f t="shared" si="13"/>
        <v>9</v>
      </c>
      <c r="D126" s="285" t="str">
        <f t="shared" si="14"/>
        <v>Q3</v>
      </c>
      <c r="E126">
        <f t="shared" si="15"/>
        <v>2023</v>
      </c>
      <c r="F126">
        <v>149.131</v>
      </c>
    </row>
    <row r="127" spans="2:6">
      <c r="B127" s="282">
        <v>45200</v>
      </c>
      <c r="C127" s="285">
        <f t="shared" si="13"/>
        <v>10</v>
      </c>
      <c r="D127" s="285" t="str">
        <f t="shared" si="14"/>
        <v>Q4</v>
      </c>
      <c r="E127">
        <f t="shared" si="15"/>
        <v>2023</v>
      </c>
      <c r="F127">
        <v>147.791</v>
      </c>
    </row>
    <row r="128" spans="2:6">
      <c r="B128" s="282">
        <v>45231</v>
      </c>
      <c r="C128" s="285">
        <f t="shared" si="13"/>
        <v>11</v>
      </c>
      <c r="D128" s="285" t="str">
        <f t="shared" si="14"/>
        <v>Q4</v>
      </c>
      <c r="E128">
        <f t="shared" si="15"/>
        <v>2023</v>
      </c>
      <c r="F128">
        <v>147.37899999999999</v>
      </c>
    </row>
    <row r="129" spans="2:6">
      <c r="B129" s="282">
        <v>45261</v>
      </c>
      <c r="C129" s="285">
        <f t="shared" si="13"/>
        <v>12</v>
      </c>
      <c r="D129" s="285" t="str">
        <f t="shared" si="14"/>
        <v>Q4</v>
      </c>
      <c r="E129">
        <f t="shared" si="15"/>
        <v>2023</v>
      </c>
      <c r="F129">
        <v>146.726</v>
      </c>
    </row>
    <row r="130" spans="2:6">
      <c r="B130" s="282">
        <v>45292</v>
      </c>
      <c r="C130" s="285">
        <f t="shared" si="13"/>
        <v>1</v>
      </c>
      <c r="D130" s="285" t="str">
        <f t="shared" si="14"/>
        <v>Q1</v>
      </c>
      <c r="E130">
        <f t="shared" si="15"/>
        <v>2024</v>
      </c>
      <c r="F130">
        <v>148.46700000000001</v>
      </c>
    </row>
    <row r="131" spans="2:6">
      <c r="B131" s="282">
        <v>45323</v>
      </c>
      <c r="C131" s="285">
        <f t="shared" ref="C131" si="16">MONTH(B131)</f>
        <v>2</v>
      </c>
      <c r="D131" s="285" t="str">
        <f t="shared" ref="D131" si="17">INDEX($H$3:$S$3,MATCH(C131,$H$2:$S$2,0))</f>
        <v>Q1</v>
      </c>
      <c r="E131">
        <f t="shared" ref="E131" si="18">YEAR(B131)</f>
        <v>2024</v>
      </c>
      <c r="F131">
        <v>150.08199999999999</v>
      </c>
    </row>
  </sheetData>
  <hyperlinks>
    <hyperlink ref="C5" r:id="rId1" xr:uid="{637DED90-8897-458C-870E-9265EAE93ED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1ff808-2ced-4909-84af-cf772d8b2153">
      <Terms xmlns="http://schemas.microsoft.com/office/infopath/2007/PartnerControls"/>
    </lcf76f155ced4ddcb4097134ff3c332f>
    <p66b4c0d493f448d86a180bdd85e6c88 xmlns="a1f4a81d-a5e4-4758-8d4c-280d46d2bc49">
      <Terms xmlns="http://schemas.microsoft.com/office/infopath/2007/PartnerControls"/>
    </p66b4c0d493f448d86a180bdd85e6c88>
    <jccc90a324b64d3e885d3ac4874f8116 xmlns="a1f4a81d-a5e4-4758-8d4c-280d46d2bc49">
      <Terms xmlns="http://schemas.microsoft.com/office/infopath/2007/PartnerControls"/>
    </jccc90a324b64d3e885d3ac4874f8116>
    <ImageMetadataListFieldId xmlns="5b1ff808-2ced-4909-84af-cf772d8b2153" xsi:nil="true"/>
    <ge7b028eb52747689a07806a5eee1edd xmlns="a1f4a81d-a5e4-4758-8d4c-280d46d2bc49">
      <Terms xmlns="http://schemas.microsoft.com/office/infopath/2007/PartnerControls"/>
    </ge7b028eb52747689a07806a5eee1edd>
    <ImageMetadataListItemId xmlns="5b1ff808-2ced-4909-84af-cf772d8b215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A2241A2F5EB64EAFC1EA3D5165977A" ma:contentTypeVersion="17" ma:contentTypeDescription="Create a new document." ma:contentTypeScope="" ma:versionID="d47be5accfd172bb6f1346938c527451">
  <xsd:schema xmlns:xsd="http://www.w3.org/2001/XMLSchema" xmlns:xs="http://www.w3.org/2001/XMLSchema" xmlns:p="http://schemas.microsoft.com/office/2006/metadata/properties" xmlns:ns2="5b1ff808-2ced-4909-84af-cf772d8b2153" xmlns:ns3="a1f4a81d-a5e4-4758-8d4c-280d46d2bc49" targetNamespace="http://schemas.microsoft.com/office/2006/metadata/properties" ma:root="true" ma:fieldsID="974d624eb3bf6adc1c60c40a4c2d8f30" ns2:_="" ns3:_="">
    <xsd:import namespace="5b1ff808-2ced-4909-84af-cf772d8b2153"/>
    <xsd:import namespace="a1f4a81d-a5e4-4758-8d4c-280d46d2b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ge7b028eb52747689a07806a5eee1edd" minOccurs="0"/>
                <xsd:element ref="ns3:p66b4c0d493f448d86a180bdd85e6c88" minOccurs="0"/>
                <xsd:element ref="ns3:jccc90a324b64d3e885d3ac4874f8116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ImageMetadataListItemId" minOccurs="0"/>
                <xsd:element ref="ns2:ImageMetadataListFieldId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ff808-2ced-4909-84af-cf772d8b2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2aac475-b1c2-42a5-8198-cbdd683842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mageMetadataListItemId" ma:index="26" nillable="true" ma:displayName="ImageMetadataListItemId" ma:hidden="true" ma:indexed="true" ma:internalName="ImageMetadataListItemId">
      <xsd:simpleType>
        <xsd:restriction base="dms:Unknown"/>
      </xsd:simpleType>
    </xsd:element>
    <xsd:element name="ImageMetadataListFieldId" ma:index="27" nillable="true" ma:displayName="ImageMetadataListFieldId" ma:hidden="true" ma:indexed="true" ma:internalName="ImageMetadataListFieldId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81d-a5e4-4758-8d4c-280d46d2bc49" elementFormDefault="qualified">
    <xsd:import namespace="http://schemas.microsoft.com/office/2006/documentManagement/types"/>
    <xsd:import namespace="http://schemas.microsoft.com/office/infopath/2007/PartnerControls"/>
    <xsd:element name="ge7b028eb52747689a07806a5eee1edd" ma:index="16" nillable="true" ma:taxonomy="true" ma:internalName="ge7b028eb52747689a07806a5eee1edd" ma:taxonomyFieldName="Department_x002f_Agency" ma:displayName="Department/Agency" ma:fieldId="{0e7b028e-b527-4768-9a07-806a5eee1edd}" ma:taxonomyMulti="true" ma:sspId="72aac475-b1c2-42a5-8198-cbdd6838428f" ma:termSetId="4297a37f-282d-4f0b-a548-59c6387f11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66b4c0d493f448d86a180bdd85e6c88" ma:index="18" nillable="true" ma:taxonomy="true" ma:internalName="p66b4c0d493f448d86a180bdd85e6c88" ma:taxonomyFieldName="Document_x0020_Type" ma:displayName="Document Type" ma:fieldId="{966b4c0d-493f-448d-86a1-80bdd85e6c88}" ma:taxonomyMulti="true" ma:sspId="72aac475-b1c2-42a5-8198-cbdd6838428f" ma:termSetId="5507c7d1-6441-4170-a60c-b91c6ea764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ccc90a324b64d3e885d3ac4874f8116" ma:index="20" nillable="true" ma:taxonomy="true" ma:internalName="jccc90a324b64d3e885d3ac4874f8116" ma:taxonomyFieldName="Topic" ma:displayName="Topic" ma:fieldId="{3ccc90a3-24b6-4d3e-885d-3ac4874f8116}" ma:taxonomyMulti="true" ma:sspId="72aac475-b1c2-42a5-8198-cbdd6838428f" ma:termSetId="36a38afd-1547-450f-ae9b-89b61a7e932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BAC646-D511-4DE8-9421-6CFDC25307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BC1029-E5D7-4B04-9C40-95F490B6D6B2}">
  <ds:schemaRefs>
    <ds:schemaRef ds:uri="http://schemas.microsoft.com/office/2006/metadata/properties"/>
    <ds:schemaRef ds:uri="http://schemas.microsoft.com/office/infopath/2007/PartnerControls"/>
    <ds:schemaRef ds:uri="5b1ff808-2ced-4909-84af-cf772d8b2153"/>
    <ds:schemaRef ds:uri="a1f4a81d-a5e4-4758-8d4c-280d46d2bc49"/>
  </ds:schemaRefs>
</ds:datastoreItem>
</file>

<file path=customXml/itemProps3.xml><?xml version="1.0" encoding="utf-8"?>
<ds:datastoreItem xmlns:ds="http://schemas.openxmlformats.org/officeDocument/2006/customXml" ds:itemID="{F56C6C5B-BD07-4729-AF43-A987A2D40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1ff808-2ced-4909-84af-cf772d8b2153"/>
    <ds:schemaRef ds:uri="a1f4a81d-a5e4-4758-8d4c-280d46d2bc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PCW-Example</vt:lpstr>
      <vt:lpstr>PCW-Template</vt:lpstr>
      <vt:lpstr>Cost Escalation</vt:lpstr>
      <vt:lpstr>Data Validation</vt:lpstr>
      <vt:lpstr>Case-Schiller</vt:lpstr>
      <vt:lpstr>PPI-Horizontal Design</vt:lpstr>
      <vt:lpstr>PPI-HiwaysandStreet(Horz Adj)</vt:lpstr>
      <vt:lpstr>'PCW-Template'!Print_Area</vt:lpstr>
      <vt:lpstr>'PCW-Example'!Print_Titles</vt:lpstr>
      <vt:lpstr>'PCW-Template'!Print_Titles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Brauer, Theresa J. - DOF CA2308 Administrator II</dc:creator>
  <cp:keywords/>
  <dc:description/>
  <cp:lastModifiedBy>Boncore, Brett - DOTI CE0403 Engineer-Architect Superv</cp:lastModifiedBy>
  <cp:revision/>
  <dcterms:created xsi:type="dcterms:W3CDTF">2019-02-19T16:19:34Z</dcterms:created>
  <dcterms:modified xsi:type="dcterms:W3CDTF">2025-04-15T23:17:16Z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0x01010032A2241A2F5EB64EAFC1EA3D5165977A</vt:lpwstr>
  </property>
  <property fmtid="{D5CDD505-2E9C-101B-9397-08002B2CF9AE}" pid="3" name="MediaServiceImageTags">
    <vt:lpwstr/>
  </property>
  <property fmtid="{D5CDD505-2E9C-101B-9397-08002B2CF9AE}" pid="4" name="Topic">
    <vt:lpwstr/>
  </property>
  <property fmtid="{D5CDD505-2E9C-101B-9397-08002B2CF9AE}" pid="5" name="TaxCatchAll">
    <vt:lpwstr/>
  </property>
  <property fmtid="{D5CDD505-2E9C-101B-9397-08002B2CF9AE}" pid="6" name="Document Type">
    <vt:lpwstr/>
  </property>
  <property fmtid="{D5CDD505-2E9C-101B-9397-08002B2CF9AE}" pid="7" name="Department/Agency">
    <vt:lpwstr/>
  </property>
</Properties>
</file>